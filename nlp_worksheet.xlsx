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はじめに" sheetId="1" state="visible" r:id="rId1"/>
    <sheet xmlns:r="http://schemas.openxmlformats.org/officeDocument/2006/relationships" name="①代表システム優先度テスト" sheetId="2" state="visible" r:id="rId2"/>
    <sheet xmlns:r="http://schemas.openxmlformats.org/officeDocument/2006/relationships" name="②優位感覚別 特徴" sheetId="3" state="visible" r:id="rId3"/>
    <sheet xmlns:r="http://schemas.openxmlformats.org/officeDocument/2006/relationships" name="③バランス車輪" sheetId="4" state="visible" r:id="rId4"/>
    <sheet xmlns:r="http://schemas.openxmlformats.org/officeDocument/2006/relationships" name="④テーマ別 望むこと" sheetId="5" state="visible" r:id="rId5"/>
    <sheet xmlns:r="http://schemas.openxmlformats.org/officeDocument/2006/relationships" name="⑤望むこと100個"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25">
    <font>
      <name val="Calibri"/>
      <family val="2"/>
      <color theme="1"/>
      <sz val="11"/>
      <scheme val="minor"/>
    </font>
    <font>
      <name val="游ゴシック"/>
      <b val="1"/>
      <color rgb="00226b5f"/>
      <sz val="28"/>
    </font>
    <font>
      <name val="游ゴシック"/>
      <color rgb="006b7c85"/>
      <sz val="13"/>
    </font>
    <font>
      <name val="游ゴシック"/>
      <b val="1"/>
      <color rgb="00226b5f"/>
      <sz val="14"/>
    </font>
    <font>
      <name val="游ゴシック"/>
      <b val="1"/>
      <color rgb="00226b5f"/>
      <sz val="12"/>
    </font>
    <font>
      <name val="游ゴシック"/>
      <color rgb="0023323a"/>
      <sz val="11"/>
    </font>
    <font>
      <name val="游ゴシック"/>
      <b val="1"/>
      <color rgb="00226b5f"/>
      <sz val="20"/>
    </font>
    <font>
      <name val="游ゴシック"/>
      <color rgb="006b7c85"/>
      <sz val="10.5"/>
    </font>
    <font>
      <name val="游ゴシック"/>
      <b val="1"/>
      <color rgb="00ffffff"/>
      <sz val="11"/>
    </font>
    <font>
      <name val="游ゴシック"/>
      <b val="1"/>
      <color rgb="00226b5f"/>
      <sz val="11"/>
    </font>
    <font>
      <name val="游ゴシック"/>
      <b val="1"/>
      <color rgb="002f8f7f"/>
      <sz val="18"/>
    </font>
    <font>
      <name val="游ゴシック"/>
      <color rgb="0023323a"/>
      <sz val="10.5"/>
    </font>
    <font>
      <name val="游ゴシック"/>
      <b val="1"/>
      <color rgb="00226b5f"/>
      <sz val="13"/>
    </font>
    <font>
      <name val="游ゴシック"/>
      <b val="1"/>
      <color rgb="006b6ad6"/>
      <sz val="11"/>
    </font>
    <font>
      <name val="游ゴシック"/>
      <b val="1"/>
      <color rgb="0023323a"/>
      <sz val="11"/>
    </font>
    <font>
      <name val="游ゴシック"/>
      <color rgb="006b7c85"/>
      <sz val="11"/>
    </font>
    <font>
      <name val="游ゴシック"/>
      <b val="1"/>
      <color rgb="006b6ad6"/>
      <sz val="13"/>
    </font>
    <font>
      <name val="游ゴシック"/>
      <b val="1"/>
      <color rgb="00ffffff"/>
      <sz val="14"/>
    </font>
    <font>
      <name val="游ゴシック"/>
      <b val="1"/>
      <color rgb="002f8f7f"/>
      <sz val="16"/>
    </font>
    <font>
      <name val="游ゴシック"/>
      <b val="1"/>
      <color rgb="006b7c85"/>
      <sz val="10"/>
    </font>
    <font>
      <name val="游ゴシック"/>
      <color rgb="0023323a"/>
      <sz val="10"/>
    </font>
    <font>
      <name val="游ゴシック"/>
      <color rgb="006b6ad6"/>
      <sz val="10"/>
    </font>
    <font>
      <name val="游ゴシック"/>
      <b val="1"/>
      <color rgb="00ffffff"/>
      <sz val="13"/>
    </font>
    <font>
      <name val="游ゴシック"/>
      <b val="1"/>
      <color rgb="00ffffff"/>
      <sz val="10"/>
    </font>
    <font>
      <name val="游ゴシック"/>
      <color rgb="006b7c85"/>
      <sz val="10"/>
    </font>
  </fonts>
  <fills count="11">
    <fill>
      <patternFill/>
    </fill>
    <fill>
      <patternFill patternType="gray125"/>
    </fill>
    <fill>
      <patternFill patternType="solid">
        <fgColor rgb="00ffffff"/>
      </patternFill>
    </fill>
    <fill>
      <patternFill patternType="solid">
        <fgColor rgb="002f8f7f"/>
      </patternFill>
    </fill>
    <fill>
      <patternFill patternType="solid">
        <fgColor rgb="00e7f4f1"/>
      </patternFill>
    </fill>
    <fill>
      <patternFill patternType="solid">
        <fgColor rgb="00f4f7f6"/>
      </patternFill>
    </fill>
    <fill>
      <patternFill patternType="solid">
        <fgColor rgb="00fbf2e3"/>
      </patternFill>
    </fill>
    <fill>
      <patternFill patternType="solid">
        <fgColor rgb="00226b5f"/>
      </patternFill>
    </fill>
    <fill>
      <patternFill patternType="solid">
        <fgColor rgb="00ececfb"/>
      </patternFill>
    </fill>
    <fill>
      <patternFill patternType="solid">
        <fgColor rgb="006b6ad6"/>
      </patternFill>
    </fill>
    <fill>
      <patternFill patternType="solid">
        <fgColor rgb="00c98a2b"/>
      </patternFill>
    </fill>
  </fills>
  <borders count="3">
    <border>
      <left/>
      <right/>
      <top/>
      <bottom/>
      <diagonal/>
    </border>
    <border>
      <left style="thin">
        <color rgb="00dbe6e3"/>
      </left>
      <right style="thin">
        <color rgb="00dbe6e3"/>
      </right>
      <top style="thin">
        <color rgb="00dbe6e3"/>
      </top>
      <bottom style="thin">
        <color rgb="00dbe6e3"/>
      </bottom>
    </border>
    <border>
      <left style="medium">
        <color rgb="002f8f7f"/>
      </left>
      <right style="medium">
        <color rgb="002f8f7f"/>
      </right>
      <top style="medium">
        <color rgb="002f8f7f"/>
      </top>
      <bottom style="medium">
        <color rgb="002f8f7f"/>
      </bottom>
    </border>
  </borders>
  <cellStyleXfs count="1">
    <xf numFmtId="0" fontId="0" fillId="0" borderId="0"/>
  </cellStyleXfs>
  <cellXfs count="51">
    <xf numFmtId="0" fontId="0" fillId="0" borderId="0" pivotButton="0" quotePrefix="0" xfId="0"/>
    <xf numFmtId="0" fontId="0" fillId="3" borderId="0" pivotButton="0" quotePrefix="0" xfId="0"/>
    <xf numFmtId="0" fontId="0" fillId="2"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0" fillId="4" borderId="0" pivotButton="0" quotePrefix="0" xfId="0"/>
    <xf numFmtId="0" fontId="3" fillId="2" borderId="0" applyAlignment="1" pivotButton="0" quotePrefix="0" xfId="0">
      <alignment horizontal="left" vertical="center"/>
    </xf>
    <xf numFmtId="0" fontId="4" fillId="4" borderId="1" applyAlignment="1" pivotButton="0" quotePrefix="0" xfId="0">
      <alignment horizontal="left" vertical="center"/>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3" borderId="1" applyAlignment="1" pivotButton="0" quotePrefix="0" xfId="0">
      <alignment horizontal="center" vertical="center"/>
    </xf>
    <xf numFmtId="0" fontId="10" fillId="4" borderId="0" applyAlignment="1" pivotButton="0" quotePrefix="0" xfId="0">
      <alignment horizontal="center" vertical="center"/>
    </xf>
    <xf numFmtId="0" fontId="9" fillId="4" borderId="0" applyAlignment="1" pivotButton="0" quotePrefix="0" xfId="0">
      <alignment horizontal="left" vertical="top" wrapText="1"/>
    </xf>
    <xf numFmtId="0" fontId="11" fillId="5" borderId="1" applyAlignment="1" pivotButton="0" quotePrefix="0" xfId="0">
      <alignment horizontal="left" vertical="center" wrapText="1"/>
    </xf>
    <xf numFmtId="0" fontId="12" fillId="2" borderId="2" applyAlignment="1" pivotButton="0" quotePrefix="0" xfId="0">
      <alignment horizontal="center" vertical="center"/>
    </xf>
    <xf numFmtId="0" fontId="13" fillId="5" borderId="1" applyAlignment="1" pivotButton="0" quotePrefix="0" xfId="0">
      <alignment horizontal="center" vertical="center"/>
    </xf>
    <xf numFmtId="0" fontId="11" fillId="2" borderId="1" applyAlignment="1" pivotButton="0" quotePrefix="0" xfId="0">
      <alignment horizontal="left" vertical="center" wrapText="1"/>
    </xf>
    <xf numFmtId="0" fontId="13" fillId="2" borderId="1" applyAlignment="1" pivotButton="0" quotePrefix="0" xfId="0">
      <alignment horizontal="center" vertical="center"/>
    </xf>
    <xf numFmtId="0" fontId="3" fillId="0" borderId="0" applyAlignment="1" pivotButton="0" quotePrefix="0" xfId="0">
      <alignment horizontal="left" vertical="center"/>
    </xf>
    <xf numFmtId="0" fontId="8" fillId="7" borderId="1" applyAlignment="1" pivotButton="0" quotePrefix="0" xfId="0">
      <alignment horizontal="center" vertical="center"/>
    </xf>
    <xf numFmtId="0" fontId="14" fillId="4" borderId="1" applyAlignment="1" pivotButton="0" quotePrefix="0" xfId="0">
      <alignment horizontal="left" vertical="center"/>
    </xf>
    <xf numFmtId="0" fontId="12" fillId="0" borderId="1" applyAlignment="1" pivotButton="0" quotePrefix="0" xfId="0">
      <alignment horizontal="center" vertical="center"/>
    </xf>
    <xf numFmtId="9" fontId="15" fillId="0" borderId="1" applyAlignment="1" pivotButton="0" quotePrefix="0" xfId="0">
      <alignment horizontal="center" vertical="center"/>
    </xf>
    <xf numFmtId="0" fontId="16" fillId="8" borderId="1" applyAlignment="1" pivotButton="0" quotePrefix="0" xfId="0">
      <alignment horizontal="left" vertical="center"/>
    </xf>
    <xf numFmtId="0" fontId="3" fillId="2" borderId="2" applyAlignment="1" pivotButton="0" quotePrefix="0" xfId="0">
      <alignment horizontal="center" vertical="center"/>
    </xf>
    <xf numFmtId="0" fontId="7" fillId="0" borderId="0" applyAlignment="1" pivotButton="0" quotePrefix="0" xfId="0">
      <alignment horizontal="left" vertical="center" wrapText="1"/>
    </xf>
    <xf numFmtId="0" fontId="17" fillId="3" borderId="0" applyAlignment="1" pivotButton="0" quotePrefix="0" xfId="0">
      <alignment horizontal="left" vertical="center"/>
    </xf>
    <xf numFmtId="0" fontId="5" fillId="5" borderId="1" applyAlignment="1" pivotButton="0" quotePrefix="0" xfId="0">
      <alignment horizontal="left" vertical="center" wrapText="1"/>
    </xf>
    <xf numFmtId="0" fontId="17" fillId="9" borderId="0" applyAlignment="1" pivotButton="0" quotePrefix="0" xfId="0">
      <alignment horizontal="left" vertical="center"/>
    </xf>
    <xf numFmtId="0" fontId="17" fillId="10" borderId="0" applyAlignment="1" pivotButton="0" quotePrefix="0" xfId="0">
      <alignment horizontal="left" vertical="center"/>
    </xf>
    <xf numFmtId="0" fontId="17" fillId="7" borderId="0" applyAlignment="1" pivotButton="0" quotePrefix="0" xfId="0">
      <alignment horizontal="left" vertical="center"/>
    </xf>
    <xf numFmtId="0" fontId="18" fillId="4" borderId="1" applyAlignment="1" pivotButton="0" quotePrefix="0" xfId="0">
      <alignment horizontal="center" vertical="center"/>
    </xf>
    <xf numFmtId="0" fontId="4" fillId="4" borderId="1" applyAlignment="1" pivotButton="0" quotePrefix="0" xfId="0">
      <alignment horizontal="left" vertical="center" wrapText="1"/>
    </xf>
    <xf numFmtId="164" fontId="16" fillId="8" borderId="1" applyAlignment="1" pivotButton="0" quotePrefix="0" xfId="0">
      <alignment horizontal="center" vertical="center"/>
    </xf>
    <xf numFmtId="0" fontId="5" fillId="4" borderId="1" applyAlignment="1" pivotButton="0" quotePrefix="0" xfId="0">
      <alignment horizontal="left" vertical="center" wrapText="1"/>
    </xf>
    <xf numFmtId="0" fontId="18" fillId="5" borderId="1" applyAlignment="1" pivotButton="0" quotePrefix="0" xfId="0">
      <alignment horizontal="center" vertical="center"/>
    </xf>
    <xf numFmtId="0" fontId="4" fillId="5" borderId="1" applyAlignment="1" pivotButton="0" quotePrefix="0" xfId="0">
      <alignment horizontal="left" vertical="center" wrapText="1"/>
    </xf>
    <xf numFmtId="0" fontId="19" fillId="0" borderId="0" pivotButton="0" quotePrefix="0" xfId="0"/>
    <xf numFmtId="0" fontId="20" fillId="0" borderId="0" pivotButton="0" quotePrefix="0" xfId="0"/>
    <xf numFmtId="164" fontId="21" fillId="0" borderId="0" pivotButton="0" quotePrefix="0" xfId="0"/>
    <xf numFmtId="0" fontId="22" fillId="3" borderId="1" applyAlignment="1" pivotButton="0" quotePrefix="0" xfId="0">
      <alignment horizontal="left" vertical="center"/>
    </xf>
    <xf numFmtId="0" fontId="23" fillId="7" borderId="1" applyAlignment="1" pivotButton="0" quotePrefix="0" xfId="0">
      <alignment horizontal="center" vertical="center" wrapText="1"/>
    </xf>
    <xf numFmtId="0" fontId="8" fillId="7" borderId="1" applyAlignment="1" pivotButton="0" quotePrefix="0" xfId="0">
      <alignment horizontal="center" vertical="center" wrapText="1"/>
    </xf>
    <xf numFmtId="0" fontId="24" fillId="5" borderId="1" applyAlignment="1" pivotButton="0" quotePrefix="0" xfId="0">
      <alignment horizontal="center" vertical="center" wrapText="1"/>
    </xf>
    <xf numFmtId="0" fontId="5" fillId="2" borderId="1" applyAlignment="1" pivotButton="0" quotePrefix="0" xfId="0">
      <alignment horizontal="left" vertical="center" wrapText="1"/>
    </xf>
    <xf numFmtId="0" fontId="9" fillId="4" borderId="1" applyAlignment="1" pivotButton="0" quotePrefix="0" xfId="0">
      <alignment horizontal="center" vertical="center"/>
    </xf>
    <xf numFmtId="0" fontId="7" fillId="4" borderId="1" applyAlignment="1" pivotButton="0" quotePrefix="0" xfId="0">
      <alignment horizontal="left" vertical="center" wrapText="1"/>
    </xf>
    <xf numFmtId="0" fontId="9" fillId="2" borderId="1" applyAlignment="1" pivotButton="0" quotePrefix="0" xfId="0">
      <alignment horizontal="center" vertical="center"/>
    </xf>
    <xf numFmtId="0" fontId="7"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26"/>
  <chart>
    <title>
      <tx>
        <rich>
          <a:bodyPr xmlns:a="http://schemas.openxmlformats.org/drawingml/2006/main"/>
          <a:p xmlns:a="http://schemas.openxmlformats.org/drawingml/2006/main">
            <a:pPr>
              <a:defRPr/>
            </a:pPr>
            <a:r>
              <a:t>人生のバランス車輪</a:t>
            </a:r>
          </a:p>
        </rich>
      </tx>
    </title>
    <plotArea>
      <radarChart>
        <radarStyle val="filled"/>
        <ser>
          <idx val="0"/>
          <order val="0"/>
          <tx>
            <strRef>
              <f>'③バランス車輪'!C25</f>
            </strRef>
          </tx>
          <spPr>
            <a:ln xmlns:a="http://schemas.openxmlformats.org/drawingml/2006/main">
              <a:prstDash val="solid"/>
            </a:ln>
          </spPr>
          <marker>
            <symbol val="none"/>
            <spPr>
              <a:ln xmlns:a="http://schemas.openxmlformats.org/drawingml/2006/main">
                <a:prstDash val="solid"/>
              </a:ln>
            </spPr>
          </marker>
          <cat>
            <numRef>
              <f>'③バランス車輪'!$B$26:$B$33</f>
            </numRef>
          </cat>
          <val>
            <numRef>
              <f>'③バランス車輪'!$C$26:$C$33</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5</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49"/>
  <sheetViews>
    <sheetView showGridLines="0" workbookViewId="0">
      <selection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2" customWidth="1" min="12" max="12"/>
  </cols>
  <sheetData>
    <row r="1" ht="4" customHeight="1">
      <c r="A1" s="1" t="n"/>
      <c r="B1" s="1" t="n"/>
      <c r="C1" s="1" t="n"/>
      <c r="D1" s="1" t="n"/>
      <c r="E1" s="1" t="n"/>
      <c r="F1" s="1" t="n"/>
      <c r="G1" s="1" t="n"/>
      <c r="H1" s="1" t="n"/>
      <c r="I1" s="1" t="n"/>
      <c r="J1" s="1" t="n"/>
      <c r="K1" s="1" t="n"/>
    </row>
    <row r="2">
      <c r="A2" s="2" t="n"/>
      <c r="B2" s="2" t="n"/>
      <c r="C2" s="2" t="n"/>
      <c r="D2" s="2" t="n"/>
      <c r="E2" s="2" t="n"/>
      <c r="F2" s="2" t="n"/>
      <c r="G2" s="2" t="n"/>
      <c r="H2" s="2" t="n"/>
      <c r="I2" s="2" t="n"/>
      <c r="J2" s="2" t="n"/>
      <c r="K2" s="2" t="n"/>
    </row>
    <row r="3" ht="60" customHeight="1">
      <c r="A3" s="2" t="n"/>
      <c r="B3" s="3" t="inlineStr">
        <is>
          <t>NLPコーチング ワークシート</t>
        </is>
      </c>
    </row>
    <row r="4" ht="24" customHeight="1">
      <c r="A4" s="2" t="n"/>
      <c r="B4" s="4" t="inlineStr">
        <is>
          <t>代表システム優先度テスト ＋ 望むこと100個 リスト</t>
        </is>
      </c>
    </row>
    <row r="5" ht="4" customHeight="1">
      <c r="A5" s="2" t="n"/>
      <c r="B5" s="5" t="n"/>
      <c r="C5" s="5" t="n"/>
      <c r="D5" s="5" t="n"/>
      <c r="E5" s="5" t="n"/>
      <c r="F5" s="5" t="n"/>
      <c r="G5" s="5" t="n"/>
      <c r="H5" s="5" t="n"/>
      <c r="I5" s="5" t="n"/>
      <c r="J5" s="5" t="n"/>
      <c r="K5" s="5" t="n"/>
    </row>
    <row r="6">
      <c r="A6" s="2" t="n"/>
      <c r="B6" s="2" t="n"/>
      <c r="C6" s="2" t="n"/>
      <c r="D6" s="2" t="n"/>
      <c r="E6" s="2" t="n"/>
      <c r="F6" s="2" t="n"/>
      <c r="G6" s="2" t="n"/>
      <c r="H6" s="2" t="n"/>
      <c r="I6" s="2" t="n"/>
      <c r="J6" s="2" t="n"/>
      <c r="K6" s="2" t="n"/>
    </row>
    <row r="7" ht="26" customHeight="1">
      <c r="A7" s="2" t="n"/>
      <c r="B7" s="6" t="inlineStr">
        <is>
          <t>📘 このワークシートの使い方</t>
        </is>
      </c>
    </row>
    <row r="8">
      <c r="A8" s="2" t="n"/>
      <c r="B8" s="2" t="n"/>
      <c r="C8" s="2" t="n"/>
      <c r="D8" s="2" t="n"/>
      <c r="E8" s="2" t="n"/>
      <c r="F8" s="2" t="n"/>
      <c r="G8" s="2" t="n"/>
      <c r="H8" s="2" t="n"/>
      <c r="I8" s="2" t="n"/>
      <c r="J8" s="2" t="n"/>
      <c r="K8" s="2" t="n"/>
    </row>
    <row r="9" ht="22" customHeight="1">
      <c r="A9" s="2" t="n"/>
      <c r="B9" s="7" t="inlineStr">
        <is>
          <t>① 代表システム優先度テスト</t>
        </is>
      </c>
    </row>
    <row r="10" ht="46" customHeight="1">
      <c r="A10" s="2" t="n"/>
      <c r="B10" s="8" t="inlineStr">
        <is>
          <t>あなたが世界を捉えるとき、視覚(V) / 聴覚(A) / 身体感覚(K) / 内部対話(Ad) のどの感覚を優位に使っているかを診断します。各設問の4つの選択肢に 4・3・2・1 を1回ずつ入力してください（同点不可）。</t>
        </is>
      </c>
    </row>
    <row r="11">
      <c r="A11" s="2" t="n"/>
      <c r="B11" s="2" t="n"/>
      <c r="C11" s="2" t="n"/>
      <c r="D11" s="2" t="n"/>
      <c r="E11" s="2" t="n"/>
      <c r="F11" s="2" t="n"/>
      <c r="G11" s="2" t="n"/>
      <c r="H11" s="2" t="n"/>
      <c r="I11" s="2" t="n"/>
      <c r="J11" s="2" t="n"/>
      <c r="K11" s="2" t="n"/>
    </row>
    <row r="12" ht="22" customHeight="1">
      <c r="A12" s="2" t="n"/>
      <c r="B12" s="7" t="inlineStr">
        <is>
          <t>② バランス車輪</t>
        </is>
      </c>
    </row>
    <row r="13" ht="46" customHeight="1">
      <c r="A13" s="2" t="n"/>
      <c r="B13" s="8" t="inlineStr">
        <is>
          <t>人生の8つの領域について、現在の満足度を 0〜10 で自己評価します。人生全体のバランスを可視化するステップです。</t>
        </is>
      </c>
    </row>
    <row r="14">
      <c r="A14" s="2" t="n"/>
      <c r="B14" s="2" t="n"/>
      <c r="C14" s="2" t="n"/>
      <c r="D14" s="2" t="n"/>
      <c r="E14" s="2" t="n"/>
      <c r="F14" s="2" t="n"/>
      <c r="G14" s="2" t="n"/>
      <c r="H14" s="2" t="n"/>
      <c r="I14" s="2" t="n"/>
      <c r="J14" s="2" t="n"/>
      <c r="K14" s="2" t="n"/>
    </row>
    <row r="15" ht="22" customHeight="1">
      <c r="A15" s="2" t="n"/>
      <c r="B15" s="7" t="inlineStr">
        <is>
          <t>③ テーマ別 望むこと</t>
        </is>
      </c>
    </row>
    <row r="16" ht="46" customHeight="1">
      <c r="A16" s="2" t="n"/>
      <c r="B16" s="8" t="inlineStr">
        <is>
          <t>各テーマごとに「将来どうなりたいか」「望むこと」を書き出します。記入した内容は自動的に「望むこと100個」シートに集約されます。</t>
        </is>
      </c>
    </row>
    <row r="17">
      <c r="A17" s="2" t="n"/>
      <c r="B17" s="2" t="n"/>
      <c r="C17" s="2" t="n"/>
      <c r="D17" s="2" t="n"/>
      <c r="E17" s="2" t="n"/>
      <c r="F17" s="2" t="n"/>
      <c r="G17" s="2" t="n"/>
      <c r="H17" s="2" t="n"/>
      <c r="I17" s="2" t="n"/>
      <c r="J17" s="2" t="n"/>
      <c r="K17" s="2" t="n"/>
    </row>
    <row r="18" ht="22" customHeight="1">
      <c r="A18" s="2" t="n"/>
      <c r="B18" s="7" t="inlineStr">
        <is>
          <t>④ 望むこと100個</t>
        </is>
      </c>
    </row>
    <row r="19" ht="46" customHeight="1">
      <c r="A19" s="2" t="n"/>
      <c r="B19" s="8" t="inlineStr">
        <is>
          <t>テーマ別シートに入力した内容が、100個のリストとして自動で集約・表示されます。人生全体の理想像の一覧です。</t>
        </is>
      </c>
    </row>
    <row r="20">
      <c r="A20" s="2" t="n"/>
      <c r="B20" s="2" t="n"/>
      <c r="C20" s="2" t="n"/>
      <c r="D20" s="2" t="n"/>
      <c r="E20" s="2" t="n"/>
      <c r="F20" s="2" t="n"/>
      <c r="G20" s="2" t="n"/>
      <c r="H20" s="2" t="n"/>
      <c r="I20" s="2" t="n"/>
      <c r="J20" s="2" t="n"/>
      <c r="K20" s="2" t="n"/>
    </row>
    <row r="21">
      <c r="A21" s="2" t="n"/>
      <c r="B21" s="2" t="n"/>
      <c r="C21" s="2" t="n"/>
      <c r="D21" s="2" t="n"/>
      <c r="E21" s="2" t="n"/>
      <c r="F21" s="2" t="n"/>
      <c r="G21" s="2" t="n"/>
      <c r="H21" s="2" t="n"/>
      <c r="I21" s="2" t="n"/>
      <c r="J21" s="2" t="n"/>
      <c r="K21" s="2" t="n"/>
    </row>
    <row r="22" ht="60" customHeight="1">
      <c r="A22" s="2" t="n"/>
      <c r="B22" s="9" t="inlineStr">
        <is>
          <t>📌 進め方のヒント
・順番にこだわらず、書きやすいテーマから始めて構いません。
・「すでにそうなった」気持ちで、過去形・断定形で書くと潜在意識に届きやすくなります。
・1テーマあたり平均6〜8個を目安に。100個に届かなくても大丈夫です、思いついた数で進めましょう。</t>
        </is>
      </c>
    </row>
    <row r="23">
      <c r="A23" s="2" t="n"/>
      <c r="B23" s="2" t="n"/>
      <c r="C23" s="2" t="n"/>
      <c r="D23" s="2" t="n"/>
      <c r="E23" s="2" t="n"/>
      <c r="F23" s="2" t="n"/>
      <c r="G23" s="2" t="n"/>
      <c r="H23" s="2" t="n"/>
      <c r="I23" s="2" t="n"/>
      <c r="J23" s="2" t="n"/>
      <c r="K23" s="2" t="n"/>
    </row>
    <row r="24">
      <c r="A24" s="2" t="n"/>
      <c r="B24" s="2" t="n"/>
      <c r="C24" s="2" t="n"/>
      <c r="D24" s="2" t="n"/>
      <c r="E24" s="2" t="n"/>
      <c r="F24" s="2" t="n"/>
      <c r="G24" s="2" t="n"/>
      <c r="H24" s="2" t="n"/>
      <c r="I24" s="2" t="n"/>
      <c r="J24" s="2" t="n"/>
      <c r="K24" s="2" t="n"/>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sheetData>
  <mergeCells count="12">
    <mergeCell ref="B22:K22"/>
    <mergeCell ref="B4:K4"/>
    <mergeCell ref="B9:K9"/>
    <mergeCell ref="B13:K13"/>
    <mergeCell ref="B18:K18"/>
    <mergeCell ref="B12:K12"/>
    <mergeCell ref="B7:K7"/>
    <mergeCell ref="B15:K15"/>
    <mergeCell ref="B16:K16"/>
    <mergeCell ref="B10:K10"/>
    <mergeCell ref="B3:K3"/>
    <mergeCell ref="B19:K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6" customWidth="1" min="1" max="1"/>
    <col width="40" customWidth="1" min="2" max="2"/>
    <col width="56" customWidth="1" min="3" max="3"/>
    <col width="14" customWidth="1" min="4" max="4"/>
    <col width="10" customWidth="1" min="5" max="5"/>
    <col width="4" customWidth="1" min="6" max="6"/>
  </cols>
  <sheetData>
    <row r="1" ht="6" customHeight="1">
      <c r="A1" s="1" t="n"/>
      <c r="B1" s="1" t="n"/>
      <c r="C1" s="1" t="n"/>
      <c r="D1" s="1" t="n"/>
      <c r="E1" s="1" t="n"/>
      <c r="F1" s="1" t="n"/>
      <c r="G1" s="1" t="n"/>
    </row>
    <row r="2" ht="38" customHeight="1">
      <c r="B2" s="10" t="inlineStr">
        <is>
          <t>代表システム 優先度テスト</t>
        </is>
      </c>
    </row>
    <row r="3" ht="36" customHeight="1">
      <c r="B3" s="11" t="inlineStr">
        <is>
          <t>各設問の4つの選択肢に対し、あなたに当てはまる度合いで「4 / 3 / 2 / 1」をそれぞれ1回ずつ入力してください（同点不可）。
4=もっともあてはまる ／ 3=あてはまる ／ 2=ややあてはまる ／ 1=すこしあてはまる</t>
        </is>
      </c>
    </row>
    <row r="5" ht="26" customHeight="1">
      <c r="A5" s="12" t="inlineStr"/>
      <c r="B5" s="12" t="inlineStr">
        <is>
          <t>設問</t>
        </is>
      </c>
      <c r="C5" s="12" t="inlineStr">
        <is>
          <t>選択肢</t>
        </is>
      </c>
      <c r="D5" s="12" t="inlineStr">
        <is>
          <t>得点（1〜4）</t>
        </is>
      </c>
      <c r="E5" s="12" t="inlineStr">
        <is>
          <t>タイプ</t>
        </is>
      </c>
    </row>
    <row r="6" ht="28" customHeight="1">
      <c r="A6" s="13" t="n">
        <v>1</v>
      </c>
      <c r="B6" s="14" t="inlineStr">
        <is>
          <t>問1
私は、大切な決定を＿＿＿を基に決めています。</t>
        </is>
      </c>
      <c r="C6" s="15" t="inlineStr">
        <is>
          <t>そのとき受けている感じの具合</t>
        </is>
      </c>
      <c r="D6" s="16" t="n"/>
      <c r="E6" s="17" t="inlineStr">
        <is>
          <t>K</t>
        </is>
      </c>
    </row>
    <row r="7" ht="28" customHeight="1">
      <c r="C7" s="15" t="inlineStr">
        <is>
          <t>どれが一番よい響きに聞こえるか</t>
        </is>
      </c>
      <c r="D7" s="16" t="n"/>
      <c r="E7" s="17" t="inlineStr">
        <is>
          <t>A</t>
        </is>
      </c>
    </row>
    <row r="8" ht="28" customHeight="1">
      <c r="C8" s="15" t="inlineStr">
        <is>
          <t>どれが最もよいビジョンが描けるか</t>
        </is>
      </c>
      <c r="D8" s="16" t="n"/>
      <c r="E8" s="17" t="inlineStr">
        <is>
          <t>V</t>
        </is>
      </c>
    </row>
    <row r="9" ht="28" customHeight="1">
      <c r="C9" s="15" t="inlineStr">
        <is>
          <t>正確に調べテーマを吟味すること</t>
        </is>
      </c>
      <c r="D9" s="16" t="n"/>
      <c r="E9" s="17" t="inlineStr">
        <is>
          <t>Ad</t>
        </is>
      </c>
    </row>
    <row r="10" ht="6" customHeight="1"/>
    <row r="11" ht="28" customHeight="1">
      <c r="A11" s="13" t="n">
        <v>2</v>
      </c>
      <c r="B11" s="14" t="inlineStr">
        <is>
          <t>問2
議論の間、私が最も影響を受けやすいのは</t>
        </is>
      </c>
      <c r="C11" s="18" t="inlineStr">
        <is>
          <t>他の人が話す時の声の大きさや調子</t>
        </is>
      </c>
      <c r="D11" s="16" t="n"/>
      <c r="E11" s="19" t="inlineStr">
        <is>
          <t>A</t>
        </is>
      </c>
    </row>
    <row r="12" ht="28" customHeight="1">
      <c r="C12" s="18" t="inlineStr">
        <is>
          <t>他の人の話の概要がハッキリと見えるかどうか</t>
        </is>
      </c>
      <c r="D12" s="16" t="n"/>
      <c r="E12" s="19" t="inlineStr">
        <is>
          <t>V</t>
        </is>
      </c>
    </row>
    <row r="13" ht="28" customHeight="1">
      <c r="C13" s="18" t="inlineStr">
        <is>
          <t>他の人の話の筋道や論理</t>
        </is>
      </c>
      <c r="D13" s="16" t="n"/>
      <c r="E13" s="19" t="inlineStr">
        <is>
          <t>Ad</t>
        </is>
      </c>
    </row>
    <row r="14" ht="28" customHeight="1">
      <c r="C14" s="18" t="inlineStr">
        <is>
          <t>他の人の気持ちや内容に共感できるかどうか</t>
        </is>
      </c>
      <c r="D14" s="16" t="n"/>
      <c r="E14" s="19" t="inlineStr">
        <is>
          <t>K</t>
        </is>
      </c>
    </row>
    <row r="15" ht="6" customHeight="1"/>
    <row r="16" ht="28" customHeight="1">
      <c r="A16" s="13" t="n">
        <v>3</v>
      </c>
      <c r="B16" s="14" t="inlineStr">
        <is>
          <t>問3
私が自分の状態を一番気づきやすいのは</t>
        </is>
      </c>
      <c r="C16" s="15" t="inlineStr">
        <is>
          <t>自分がどんな服を着て、見栄えはどうかによって</t>
        </is>
      </c>
      <c r="D16" s="16" t="n"/>
      <c r="E16" s="17" t="inlineStr">
        <is>
          <t>V</t>
        </is>
      </c>
    </row>
    <row r="17" ht="28" customHeight="1">
      <c r="C17" s="15" t="inlineStr">
        <is>
          <t>自分がどんな雰囲気になっているかによって</t>
        </is>
      </c>
      <c r="D17" s="16" t="n"/>
      <c r="E17" s="17" t="inlineStr">
        <is>
          <t>K</t>
        </is>
      </c>
    </row>
    <row r="18" ht="28" customHeight="1">
      <c r="C18" s="15" t="inlineStr">
        <is>
          <t>自分が話の中で意識する言葉づかいや内容によって</t>
        </is>
      </c>
      <c r="D18" s="16" t="n"/>
      <c r="E18" s="17" t="inlineStr">
        <is>
          <t>Ad</t>
        </is>
      </c>
    </row>
    <row r="19" ht="28" customHeight="1">
      <c r="C19" s="15" t="inlineStr">
        <is>
          <t>自分が話す時の声の調子によって</t>
        </is>
      </c>
      <c r="D19" s="16" t="n"/>
      <c r="E19" s="17" t="inlineStr">
        <is>
          <t>A</t>
        </is>
      </c>
    </row>
    <row r="20" ht="6" customHeight="1"/>
    <row r="21" ht="28" customHeight="1">
      <c r="A21" s="13" t="n">
        <v>4</v>
      </c>
      <c r="B21" s="14" t="inlineStr">
        <is>
          <t>問4
私にとって、最も簡単にできそうなのは</t>
        </is>
      </c>
      <c r="C21" s="18" t="inlineStr">
        <is>
          <t>ステレオなどで好みの音質を見つけたりテレビの音量を気にすること</t>
        </is>
      </c>
      <c r="D21" s="16" t="n"/>
      <c r="E21" s="19" t="inlineStr">
        <is>
          <t>A</t>
        </is>
      </c>
    </row>
    <row r="22" ht="28" customHeight="1">
      <c r="C22" s="18" t="inlineStr">
        <is>
          <t>興味ある事柄に関連した知識や情報を集めること</t>
        </is>
      </c>
      <c r="D22" s="16" t="n"/>
      <c r="E22" s="19" t="inlineStr">
        <is>
          <t>Ad</t>
        </is>
      </c>
    </row>
    <row r="23" ht="28" customHeight="1">
      <c r="C23" s="18" t="inlineStr">
        <is>
          <t>一番快適で座り心地の良いソファーを探し出すこと</t>
        </is>
      </c>
      <c r="D23" s="16" t="n"/>
      <c r="E23" s="19" t="inlineStr">
        <is>
          <t>K</t>
        </is>
      </c>
    </row>
    <row r="24" ht="28" customHeight="1">
      <c r="C24" s="18" t="inlineStr">
        <is>
          <t>美しく、魅力的な色の配色を選び出すこと</t>
        </is>
      </c>
      <c r="D24" s="16" t="n"/>
      <c r="E24" s="19" t="inlineStr">
        <is>
          <t>V</t>
        </is>
      </c>
    </row>
    <row r="25" ht="6" customHeight="1"/>
    <row r="26" ht="28" customHeight="1">
      <c r="A26" s="13" t="n">
        <v>5</v>
      </c>
      <c r="B26" s="14" t="inlineStr">
        <is>
          <t>問5
私は・・・</t>
        </is>
      </c>
      <c r="C26" s="15" t="inlineStr">
        <is>
          <t>私は自分のいる場所の音やざわめきが気になります</t>
        </is>
      </c>
      <c r="D26" s="16" t="n"/>
      <c r="E26" s="17" t="inlineStr">
        <is>
          <t>A</t>
        </is>
      </c>
    </row>
    <row r="27" ht="28" customHeight="1">
      <c r="C27" s="15" t="inlineStr">
        <is>
          <t>私は新しい情報やデータをよく知っていることに関心があります</t>
        </is>
      </c>
      <c r="D27" s="16" t="n"/>
      <c r="E27" s="17" t="inlineStr">
        <is>
          <t>Ad</t>
        </is>
      </c>
    </row>
    <row r="28" ht="28" customHeight="1">
      <c r="C28" s="15" t="inlineStr">
        <is>
          <t>私は自分に触れる椅子や布団の肌触りが気になります</t>
        </is>
      </c>
      <c r="D28" s="16" t="n"/>
      <c r="E28" s="17" t="inlineStr">
        <is>
          <t>K</t>
        </is>
      </c>
    </row>
    <row r="29" ht="28" customHeight="1">
      <c r="C29" s="15" t="inlineStr">
        <is>
          <t>私は自分の部屋の片づけ具合や色の配色に関心があります</t>
        </is>
      </c>
      <c r="D29" s="16" t="n"/>
      <c r="E29" s="17" t="inlineStr">
        <is>
          <t>V</t>
        </is>
      </c>
    </row>
    <row r="30" ht="6" customHeight="1"/>
    <row r="32" ht="30" customHeight="1">
      <c r="B32" s="20" t="inlineStr">
        <is>
          <t>📊 タイプ別 集計（自動計算）</t>
        </is>
      </c>
    </row>
    <row r="33" ht="24" customHeight="1">
      <c r="B33" s="21" t="inlineStr"/>
      <c r="C33" s="21" t="inlineStr">
        <is>
          <t>タイプ</t>
        </is>
      </c>
      <c r="D33" s="21" t="inlineStr">
        <is>
          <t>合計点</t>
        </is>
      </c>
      <c r="E33" s="21" t="inlineStr">
        <is>
          <t>比率</t>
        </is>
      </c>
    </row>
    <row r="34" ht="26" customHeight="1">
      <c r="B34" t="inlineStr"/>
      <c r="C34" s="22" t="inlineStr">
        <is>
          <t>V（Visual）視覚型</t>
        </is>
      </c>
      <c r="D34" s="23">
        <f>SUM(D8,D12,D16,D24,D29)</f>
        <v/>
      </c>
      <c r="E34" s="24">
        <f>IF(SUM($D$34:$D$37)=0,0,D34/SUM($D$34:$D$37))</f>
        <v/>
      </c>
    </row>
    <row r="35" ht="26" customHeight="1">
      <c r="B35" t="inlineStr"/>
      <c r="C35" s="22" t="inlineStr">
        <is>
          <t>A（Auditory）聴覚型</t>
        </is>
      </c>
      <c r="D35" s="23">
        <f>SUM(D7,D11,D19,D21,D26)</f>
        <v/>
      </c>
      <c r="E35" s="24">
        <f>IF(SUM($D$34:$D$37)=0,0,D35/SUM($D$34:$D$37))</f>
        <v/>
      </c>
    </row>
    <row r="36" ht="26" customHeight="1">
      <c r="B36" t="inlineStr"/>
      <c r="C36" s="22" t="inlineStr">
        <is>
          <t>K（Kinesthetic）身体感覚型</t>
        </is>
      </c>
      <c r="D36" s="23">
        <f>SUM(D6,D14,D17,D23,D28)</f>
        <v/>
      </c>
      <c r="E36" s="24">
        <f>IF(SUM($D$34:$D$37)=0,0,D36/SUM($D$34:$D$37))</f>
        <v/>
      </c>
    </row>
    <row r="37" ht="26" customHeight="1">
      <c r="B37" t="inlineStr"/>
      <c r="C37" s="22" t="inlineStr">
        <is>
          <t>Ad（Auditory Digital）内部対話型</t>
        </is>
      </c>
      <c r="D37" s="23">
        <f>SUM(D9,D13,D18,D22,D27)</f>
        <v/>
      </c>
      <c r="E37" s="24">
        <f>IF(SUM($D$34:$D$37)=0,0,D37/SUM($D$34:$D$37))</f>
        <v/>
      </c>
    </row>
    <row r="39" ht="36" customHeight="1">
      <c r="B39" s="25" t="inlineStr">
        <is>
          <t>🏆 最優位タイプ</t>
        </is>
      </c>
      <c r="D39" s="26">
        <f>IF(SUM(D34:D37)=0,"未入力",INDEX($C$34:$C$37,MATCH(MAX($D$34:$D$37),$D$34:$D$37,0)))</f>
        <v/>
      </c>
    </row>
  </sheetData>
  <mergeCells count="15">
    <mergeCell ref="B39:C39"/>
    <mergeCell ref="D39:E39"/>
    <mergeCell ref="B2:F2"/>
    <mergeCell ref="A26:A29"/>
    <mergeCell ref="B26:B29"/>
    <mergeCell ref="A6:A9"/>
    <mergeCell ref="B3:F3"/>
    <mergeCell ref="B32:E32"/>
    <mergeCell ref="B6:B9"/>
    <mergeCell ref="B21:B24"/>
    <mergeCell ref="A21:A24"/>
    <mergeCell ref="A11:A14"/>
    <mergeCell ref="B11:B14"/>
    <mergeCell ref="B16:B19"/>
    <mergeCell ref="A16:A19"/>
  </mergeCells>
  <conditionalFormatting sqref="D34:D37">
    <cfRule type="colorScale" priority="1">
      <colorScale>
        <cfvo type="min"/>
        <cfvo type="max"/>
        <color rgb="00e7f4f1"/>
        <color rgb="002f8f7f"/>
      </colorScale>
    </cfRule>
  </conditionalFormatting>
  <dataValidations count="1">
    <dataValidation sqref="D6:D31" showDropDown="0" showInputMessage="0" showErrorMessage="0" allowBlank="1" errorTitle="入力エラー" error="1〜4の整数を入力してください" type="whole" operator="between">
      <formula1>1</formula1>
      <formula2>4</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showGridLines="0" workbookViewId="0">
      <selection activeCell="A1" sqref="A1"/>
    </sheetView>
  </sheetViews>
  <sheetFormatPr baseColWidth="8" defaultRowHeight="15"/>
  <cols>
    <col width="4" customWidth="1" min="1" max="1"/>
    <col width="18" customWidth="1" min="2" max="2"/>
    <col width="18" customWidth="1" min="3" max="3"/>
    <col width="18" customWidth="1" min="4" max="4"/>
    <col width="18" customWidth="1" min="5" max="5"/>
    <col width="18" customWidth="1" min="6" max="6"/>
    <col width="18" customWidth="1" min="7" max="7"/>
  </cols>
  <sheetData>
    <row r="1" ht="6" customHeight="1">
      <c r="A1" s="1" t="n"/>
      <c r="B1" s="1" t="n"/>
      <c r="C1" s="1" t="n"/>
      <c r="D1" s="1" t="n"/>
      <c r="E1" s="1" t="n"/>
      <c r="F1" s="1" t="n"/>
      <c r="G1" s="1" t="n"/>
    </row>
    <row r="2" ht="38" customHeight="1">
      <c r="B2" s="10" t="inlineStr">
        <is>
          <t>優位感覚別の特徴</t>
        </is>
      </c>
    </row>
    <row r="3" ht="28" customHeight="1">
      <c r="B3" s="27" t="inlineStr">
        <is>
          <t>あなたの優位感覚を知ることで、自分の強みや、コーチング・対話で活かす切り口が見えてきます。</t>
        </is>
      </c>
    </row>
    <row r="5" ht="32" customHeight="1">
      <c r="B5" s="28" t="inlineStr">
        <is>
          <t>V（Visual）視覚型</t>
        </is>
      </c>
    </row>
    <row r="6" ht="22" customHeight="1">
      <c r="B6" s="29" t="inlineStr">
        <is>
          <t>・ 一般に背筋が伸びた良い姿勢</t>
        </is>
      </c>
    </row>
    <row r="7" ht="22" customHeight="1">
      <c r="B7" s="29" t="inlineStr">
        <is>
          <t>・ 目がよく上に動く</t>
        </is>
      </c>
    </row>
    <row r="8" ht="22" customHeight="1">
      <c r="B8" s="29" t="inlineStr">
        <is>
          <t>・ 話すテンポが速い</t>
        </is>
      </c>
    </row>
    <row r="9" ht="22" customHeight="1">
      <c r="B9" s="29" t="inlineStr">
        <is>
          <t>・ 声のトーンが高い</t>
        </is>
      </c>
    </row>
    <row r="10" ht="22" customHeight="1">
      <c r="B10" s="29" t="inlineStr">
        <is>
          <t>・ 話を視覚的な表現で好む</t>
        </is>
      </c>
    </row>
    <row r="11" ht="22" customHeight="1">
      <c r="B11" s="29" t="inlineStr">
        <is>
          <t>・ 外見を重視する</t>
        </is>
      </c>
    </row>
    <row r="12" ht="22" customHeight="1">
      <c r="B12" s="29" t="inlineStr">
        <is>
          <t>・ 呼吸は胸の上部で浅め</t>
        </is>
      </c>
    </row>
    <row r="13" ht="8" customHeight="1"/>
    <row r="14" ht="32" customHeight="1">
      <c r="B14" s="30" t="inlineStr">
        <is>
          <t>A（Auditory）聴覚型</t>
        </is>
      </c>
    </row>
    <row r="15" ht="22" customHeight="1">
      <c r="B15" s="29" t="inlineStr">
        <is>
          <t>・ 話すテンポはVとKの中間</t>
        </is>
      </c>
    </row>
    <row r="16" ht="22" customHeight="1">
      <c r="B16" s="29" t="inlineStr">
        <is>
          <t>・ 視線は左右によく動かす</t>
        </is>
      </c>
    </row>
    <row r="17" ht="22" customHeight="1">
      <c r="B17" s="29" t="inlineStr">
        <is>
          <t>・ 言葉の音を大切にする</t>
        </is>
      </c>
    </row>
    <row r="18" ht="22" customHeight="1">
      <c r="B18" s="29" t="inlineStr">
        <is>
          <t>・ 頭を傾ける</t>
        </is>
      </c>
    </row>
    <row r="19" ht="22" customHeight="1">
      <c r="B19" s="29" t="inlineStr">
        <is>
          <t>・ 声は澄んで歯切れよく響く</t>
        </is>
      </c>
    </row>
    <row r="20" ht="22" customHeight="1">
      <c r="B20" s="29" t="inlineStr">
        <is>
          <t>・ 音楽を聴いたり電話で話すのが好き</t>
        </is>
      </c>
    </row>
    <row r="21" ht="22" customHeight="1">
      <c r="B21" s="29" t="inlineStr">
        <is>
          <t>・ 騒音があると集中できない</t>
        </is>
      </c>
    </row>
    <row r="22" ht="8" customHeight="1"/>
    <row r="23" ht="32" customHeight="1">
      <c r="B23" s="31" t="inlineStr">
        <is>
          <t>K（Kinesthetic）身体感覚型</t>
        </is>
      </c>
    </row>
    <row r="24" ht="22" customHeight="1">
      <c r="B24" s="29" t="inlineStr">
        <is>
          <t>・ お腹でゆっくり呼吸</t>
        </is>
      </c>
    </row>
    <row r="25" ht="22" customHeight="1">
      <c r="B25" s="29" t="inlineStr">
        <is>
          <t>・ 筋肉は緩んでいる</t>
        </is>
      </c>
    </row>
    <row r="26" ht="22" customHeight="1">
      <c r="B26" s="29" t="inlineStr">
        <is>
          <t>・ 頭は垂れている</t>
        </is>
      </c>
    </row>
    <row r="27" ht="22" customHeight="1">
      <c r="B27" s="29" t="inlineStr">
        <is>
          <t>・ 視線は下の方に動かす</t>
        </is>
      </c>
    </row>
    <row r="28" ht="22" customHeight="1">
      <c r="B28" s="29" t="inlineStr">
        <is>
          <t>・ 声は低い</t>
        </is>
      </c>
    </row>
    <row r="29" ht="22" customHeight="1">
      <c r="B29" s="29" t="inlineStr">
        <is>
          <t>・ ゆっくりと間を置く話し方</t>
        </is>
      </c>
    </row>
    <row r="30" ht="22" customHeight="1">
      <c r="B30" s="29" t="inlineStr">
        <is>
          <t>・ 感触や触れ合いを大切にする</t>
        </is>
      </c>
    </row>
    <row r="31" ht="22" customHeight="1">
      <c r="B31" s="29" t="inlineStr">
        <is>
          <t>・ 人の近くに立つ傾向がある</t>
        </is>
      </c>
    </row>
    <row r="32" ht="22" customHeight="1">
      <c r="B32" s="29" t="inlineStr">
        <is>
          <t>・ 身体を動かしながらものを覚える</t>
        </is>
      </c>
    </row>
    <row r="33" ht="8" customHeight="1"/>
    <row r="34" ht="32" customHeight="1">
      <c r="B34" s="32" t="inlineStr">
        <is>
          <t>Ad（Auditory Digital）内部対話型</t>
        </is>
      </c>
    </row>
    <row r="35" ht="22" customHeight="1">
      <c r="B35" s="29" t="inlineStr">
        <is>
          <t>・ 言葉の論理性を重視する</t>
        </is>
      </c>
    </row>
    <row r="36" ht="22" customHeight="1">
      <c r="B36" s="29" t="inlineStr">
        <is>
          <t>・ 落ち着いた話し方をする</t>
        </is>
      </c>
    </row>
    <row r="37" ht="22" customHeight="1">
      <c r="B37" s="29" t="inlineStr">
        <is>
          <t>・ 複雑な文を筋道立てて話すことができる</t>
        </is>
      </c>
    </row>
    <row r="38" ht="22" customHeight="1">
      <c r="B38" s="29" t="inlineStr">
        <is>
          <t>・ 独り言を言ったり自分の中で対話する</t>
        </is>
      </c>
    </row>
    <row r="39" ht="8" customHeight="1"/>
  </sheetData>
  <mergeCells count="33">
    <mergeCell ref="B7:F7"/>
    <mergeCell ref="B16:F16"/>
    <mergeCell ref="B25:F25"/>
    <mergeCell ref="B3:F3"/>
    <mergeCell ref="B31:F31"/>
    <mergeCell ref="B18:F18"/>
    <mergeCell ref="B27:F27"/>
    <mergeCell ref="B21:F21"/>
    <mergeCell ref="B12:F12"/>
    <mergeCell ref="B2:F2"/>
    <mergeCell ref="B11:F11"/>
    <mergeCell ref="B23:F23"/>
    <mergeCell ref="B14:F14"/>
    <mergeCell ref="B8:F8"/>
    <mergeCell ref="B17:F17"/>
    <mergeCell ref="B29:F29"/>
    <mergeCell ref="B38:F38"/>
    <mergeCell ref="B34:F34"/>
    <mergeCell ref="B10:F10"/>
    <mergeCell ref="B28:F28"/>
    <mergeCell ref="B19:F19"/>
    <mergeCell ref="B37:F37"/>
    <mergeCell ref="B9:F9"/>
    <mergeCell ref="B30:F30"/>
    <mergeCell ref="B6:F6"/>
    <mergeCell ref="B24:F24"/>
    <mergeCell ref="B20:F20"/>
    <mergeCell ref="B15:F15"/>
    <mergeCell ref="B5:F5"/>
    <mergeCell ref="B36:F36"/>
    <mergeCell ref="B32:F32"/>
    <mergeCell ref="B26:F26"/>
    <mergeCell ref="B35:F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showGridLines="0" workbookViewId="0">
      <selection activeCell="A1" sqref="A1"/>
    </sheetView>
  </sheetViews>
  <sheetFormatPr baseColWidth="8" defaultRowHeight="15"/>
  <cols>
    <col width="3" customWidth="1" min="1" max="1"/>
    <col width="6" customWidth="1" min="2" max="2"/>
    <col width="22" customWidth="1" min="3" max="3"/>
    <col width="12" customWidth="1" min="4" max="4"/>
    <col width="18" customWidth="1" min="5" max="5"/>
    <col width="22" customWidth="1" min="6" max="6"/>
    <col width="4"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s>
  <sheetData>
    <row r="1" ht="6" customHeight="1">
      <c r="A1" s="1" t="n"/>
      <c r="B1" s="1" t="n"/>
      <c r="C1" s="1" t="n"/>
      <c r="D1" s="1" t="n"/>
      <c r="E1" s="1" t="n"/>
      <c r="F1" s="1" t="n"/>
      <c r="G1" s="1" t="n"/>
      <c r="H1" s="1" t="n"/>
      <c r="I1" s="1" t="n"/>
    </row>
    <row r="2" ht="38" customHeight="1">
      <c r="B2" s="10" t="inlineStr">
        <is>
          <t>人生のバランス車輪</t>
        </is>
      </c>
    </row>
    <row r="3" ht="56" customHeight="1">
      <c r="B3" s="11" t="inlineStr">
        <is>
          <t>・人生の8つの領域のバランスを見ます。「0〜10」で満足度を自己評価してください。
・現在の状態を記入してOKです。1ヶ月後・1年後・3年後など、将来の目標値としても活用できます。</t>
        </is>
      </c>
    </row>
    <row r="5" ht="28" customHeight="1">
      <c r="B5" s="12" t="inlineStr"/>
      <c r="C5" s="12" t="inlineStr">
        <is>
          <t>大テーマ</t>
        </is>
      </c>
      <c r="D5" s="12" t="inlineStr">
        <is>
          <t>平均値</t>
        </is>
      </c>
      <c r="E5" s="12" t="inlineStr">
        <is>
          <t>小テーマ</t>
        </is>
      </c>
      <c r="F5" s="12" t="inlineStr">
        <is>
          <t>満足度（0〜10）</t>
        </is>
      </c>
    </row>
    <row r="6" ht="28" customHeight="1">
      <c r="B6" s="33" t="n">
        <v>1</v>
      </c>
      <c r="C6" s="34" t="inlineStr">
        <is>
          <t>仕事・キャリア</t>
        </is>
      </c>
      <c r="D6" s="35">
        <f>IFERROR(AVERAGE(F6:F7),"")</f>
        <v/>
      </c>
      <c r="E6" s="36" t="inlineStr">
        <is>
          <t>やりがい</t>
        </is>
      </c>
      <c r="F6" s="16" t="n"/>
    </row>
    <row r="7" ht="28" customHeight="1">
      <c r="E7" s="36" t="inlineStr">
        <is>
          <t>収入</t>
        </is>
      </c>
      <c r="F7" s="16" t="n"/>
    </row>
    <row r="8" ht="28" customHeight="1">
      <c r="B8" s="37" t="n">
        <v>2</v>
      </c>
      <c r="C8" s="38" t="inlineStr">
        <is>
          <t>お金・経済</t>
        </is>
      </c>
      <c r="D8" s="35">
        <f>IFERROR(AVERAGE(F8:F9),"")</f>
        <v/>
      </c>
      <c r="E8" s="29" t="inlineStr">
        <is>
          <t>貯蓄</t>
        </is>
      </c>
      <c r="F8" s="16" t="n"/>
    </row>
    <row r="9" ht="28" customHeight="1">
      <c r="E9" s="29" t="inlineStr">
        <is>
          <t>投資</t>
        </is>
      </c>
      <c r="F9" s="16" t="n"/>
    </row>
    <row r="10" ht="28" customHeight="1">
      <c r="B10" s="33" t="n">
        <v>3</v>
      </c>
      <c r="C10" s="34" t="inlineStr">
        <is>
          <t>健康</t>
        </is>
      </c>
      <c r="D10" s="35">
        <f>IFERROR(AVERAGE(F10:F11),"")</f>
        <v/>
      </c>
      <c r="E10" s="36" t="inlineStr">
        <is>
          <t>身体</t>
        </is>
      </c>
      <c r="F10" s="16" t="n"/>
    </row>
    <row r="11" ht="28" customHeight="1">
      <c r="E11" s="36" t="inlineStr">
        <is>
          <t>メンタル</t>
        </is>
      </c>
      <c r="F11" s="16" t="n"/>
    </row>
    <row r="12" ht="28" customHeight="1">
      <c r="B12" s="37" t="n">
        <v>4</v>
      </c>
      <c r="C12" s="38" t="inlineStr">
        <is>
          <t>家族・パートナー</t>
        </is>
      </c>
      <c r="D12" s="35">
        <f>IFERROR(AVERAGE(F12:F13),"")</f>
        <v/>
      </c>
      <c r="E12" s="29" t="inlineStr">
        <is>
          <t>家族</t>
        </is>
      </c>
      <c r="F12" s="16" t="n"/>
    </row>
    <row r="13" ht="28" customHeight="1">
      <c r="E13" s="29" t="inlineStr">
        <is>
          <t>パートナー</t>
        </is>
      </c>
      <c r="F13" s="16" t="n"/>
    </row>
    <row r="14" ht="28" customHeight="1">
      <c r="B14" s="33" t="n">
        <v>5</v>
      </c>
      <c r="C14" s="34" t="inlineStr">
        <is>
          <t>人間関係</t>
        </is>
      </c>
      <c r="D14" s="35">
        <f>IFERROR(AVERAGE(F14:F15),"")</f>
        <v/>
      </c>
      <c r="E14" s="36" t="inlineStr">
        <is>
          <t>友人・知人</t>
        </is>
      </c>
      <c r="F14" s="16" t="n"/>
    </row>
    <row r="15" ht="28" customHeight="1">
      <c r="E15" s="36" t="inlineStr">
        <is>
          <t>仕事関係</t>
        </is>
      </c>
      <c r="F15" s="16" t="n"/>
    </row>
    <row r="16" ht="28" customHeight="1">
      <c r="B16" s="37" t="n">
        <v>6</v>
      </c>
      <c r="C16" s="38" t="inlineStr">
        <is>
          <t>精神性</t>
        </is>
      </c>
      <c r="D16" s="35">
        <f>IFERROR(AVERAGE(F16:F17),"")</f>
        <v/>
      </c>
      <c r="E16" s="29" t="inlineStr">
        <is>
          <t>ミッション</t>
        </is>
      </c>
      <c r="F16" s="16" t="n"/>
    </row>
    <row r="17" ht="28" customHeight="1">
      <c r="E17" s="29" t="inlineStr">
        <is>
          <t>学び</t>
        </is>
      </c>
      <c r="F17" s="16" t="n"/>
    </row>
    <row r="18" ht="28" customHeight="1">
      <c r="B18" s="33" t="n">
        <v>7</v>
      </c>
      <c r="C18" s="34" t="inlineStr">
        <is>
          <t>遊び・余暇</t>
        </is>
      </c>
      <c r="D18" s="35">
        <f>IFERROR(AVERAGE(F18:F19),"")</f>
        <v/>
      </c>
      <c r="E18" s="36" t="inlineStr">
        <is>
          <t>行きたい所</t>
        </is>
      </c>
      <c r="F18" s="16" t="n"/>
    </row>
    <row r="19" ht="28" customHeight="1">
      <c r="E19" s="36" t="inlineStr">
        <is>
          <t>欲しいもの</t>
        </is>
      </c>
      <c r="F19" s="16" t="n"/>
    </row>
    <row r="20" ht="28" customHeight="1">
      <c r="B20" s="37" t="n">
        <v>8</v>
      </c>
      <c r="C20" s="38" t="inlineStr">
        <is>
          <t>環境</t>
        </is>
      </c>
      <c r="D20" s="35">
        <f>IFERROR(AVERAGE(F20:F21),"")</f>
        <v/>
      </c>
      <c r="E20" s="29" t="inlineStr">
        <is>
          <t>住居</t>
        </is>
      </c>
      <c r="F20" s="16" t="n"/>
    </row>
    <row r="21" ht="28" customHeight="1">
      <c r="E21" s="29" t="inlineStr">
        <is>
          <t>環境</t>
        </is>
      </c>
      <c r="F21" s="16" t="n"/>
    </row>
    <row r="23" ht="8" customHeight="1"/>
    <row r="24">
      <c r="B24" s="20" t="inlineStr">
        <is>
          <t>🎯 バランス車輪 ビジュアル化</t>
        </is>
      </c>
    </row>
    <row r="25">
      <c r="B25" s="39" t="inlineStr">
        <is>
          <t>テーマ</t>
        </is>
      </c>
      <c r="C25" s="39" t="inlineStr">
        <is>
          <t>平均値</t>
        </is>
      </c>
    </row>
    <row r="26">
      <c r="B26" s="40" t="inlineStr">
        <is>
          <t>仕事・キャリア</t>
        </is>
      </c>
      <c r="C26" s="41">
        <f>IFERROR(D6,0)</f>
        <v/>
      </c>
    </row>
    <row r="27">
      <c r="B27" s="40" t="inlineStr">
        <is>
          <t>お金・経済</t>
        </is>
      </c>
      <c r="C27" s="41">
        <f>IFERROR(D8,0)</f>
        <v/>
      </c>
    </row>
    <row r="28">
      <c r="B28" s="40" t="inlineStr">
        <is>
          <t>健康</t>
        </is>
      </c>
      <c r="C28" s="41">
        <f>IFERROR(D10,0)</f>
        <v/>
      </c>
    </row>
    <row r="29">
      <c r="B29" s="40" t="inlineStr">
        <is>
          <t>家族・パートナー</t>
        </is>
      </c>
      <c r="C29" s="41">
        <f>IFERROR(D12,0)</f>
        <v/>
      </c>
    </row>
    <row r="30">
      <c r="B30" s="40" t="inlineStr">
        <is>
          <t>人間関係</t>
        </is>
      </c>
      <c r="C30" s="41">
        <f>IFERROR(D14,0)</f>
        <v/>
      </c>
    </row>
    <row r="31">
      <c r="B31" s="40" t="inlineStr">
        <is>
          <t>精神性</t>
        </is>
      </c>
      <c r="C31" s="41">
        <f>IFERROR(D16,0)</f>
        <v/>
      </c>
    </row>
    <row r="32">
      <c r="B32" s="40" t="inlineStr">
        <is>
          <t>遊び・余暇</t>
        </is>
      </c>
      <c r="C32" s="41">
        <f>IFERROR(D18,0)</f>
        <v/>
      </c>
    </row>
    <row r="33">
      <c r="B33" s="40" t="inlineStr">
        <is>
          <t>環境</t>
        </is>
      </c>
      <c r="C33" s="41">
        <f>IFERROR(D20,0)</f>
        <v/>
      </c>
    </row>
  </sheetData>
  <mergeCells count="27">
    <mergeCell ref="B2:G2"/>
    <mergeCell ref="B12:B13"/>
    <mergeCell ref="B18:B19"/>
    <mergeCell ref="C20:C21"/>
    <mergeCell ref="B8:B9"/>
    <mergeCell ref="C10:C11"/>
    <mergeCell ref="C16:C17"/>
    <mergeCell ref="B14:B15"/>
    <mergeCell ref="C12:C13"/>
    <mergeCell ref="D16:D17"/>
    <mergeCell ref="D12:D13"/>
    <mergeCell ref="B10:B11"/>
    <mergeCell ref="B6:B7"/>
    <mergeCell ref="B24:G24"/>
    <mergeCell ref="C8:C9"/>
    <mergeCell ref="D18:D19"/>
    <mergeCell ref="D8:D9"/>
    <mergeCell ref="C18:C19"/>
    <mergeCell ref="B20:B21"/>
    <mergeCell ref="D20:D21"/>
    <mergeCell ref="D14:D15"/>
    <mergeCell ref="B3:G3"/>
    <mergeCell ref="D10:D11"/>
    <mergeCell ref="B16:B17"/>
    <mergeCell ref="C6:C7"/>
    <mergeCell ref="D6:D7"/>
    <mergeCell ref="C14:C15"/>
  </mergeCells>
  <conditionalFormatting sqref="F6:F21">
    <cfRule type="colorScale" priority="1">
      <colorScale>
        <cfvo type="num" val="0"/>
        <cfvo type="num" val="5"/>
        <cfvo type="num" val="10"/>
        <color rgb="00fbf2e3"/>
        <color rgb="00e7f4f1"/>
        <color rgb="002f8f7f"/>
      </colorScale>
    </cfRule>
  </conditionalFormatting>
  <dataValidations count="1">
    <dataValidation sqref="F6 F7 F8 F9 F10 F11 F12 F13 F14 F15 F16 F17 F18 F19 F20 F21" showDropDown="0" showInputMessage="0" showErrorMessage="0" allowBlank="1" errorTitle="入力エラー" error="0〜10の整数を入力してください" type="whole" operator="between">
      <formula1>0</formula1>
      <formula2>10</formula2>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K55"/>
  <sheetViews>
    <sheetView showGridLines="0" workbookViewId="0">
      <selection activeCell="A1" sqref="A1"/>
    </sheetView>
  </sheetViews>
  <sheetFormatPr baseColWidth="8" defaultRowHeight="15"/>
  <cols>
    <col width="3" customWidth="1" min="1" max="1"/>
    <col width="5" customWidth="1" min="2" max="2"/>
    <col width="32" customWidth="1" min="3" max="3"/>
    <col width="5" customWidth="1" min="4" max="4"/>
    <col width="32" customWidth="1" min="5" max="5"/>
    <col width="4" customWidth="1" min="6" max="6"/>
    <col width="5" customWidth="1" min="7" max="7"/>
    <col width="32" customWidth="1" min="8" max="8"/>
    <col width="5" customWidth="1" min="9" max="9"/>
    <col width="32" customWidth="1" min="10" max="10"/>
  </cols>
  <sheetData>
    <row r="1" ht="6" customHeight="1">
      <c r="A1" s="1" t="n"/>
      <c r="B1" s="1" t="n"/>
      <c r="C1" s="1" t="n"/>
      <c r="D1" s="1" t="n"/>
      <c r="E1" s="1" t="n"/>
      <c r="F1" s="1" t="n"/>
      <c r="G1" s="1" t="n"/>
      <c r="H1" s="1" t="n"/>
      <c r="I1" s="1" t="n"/>
      <c r="J1" s="1" t="n"/>
      <c r="K1" s="1" t="n"/>
    </row>
    <row r="2" ht="38" customHeight="1">
      <c r="B2" s="10" t="inlineStr">
        <is>
          <t>テーマ別 望むこと</t>
        </is>
      </c>
    </row>
    <row r="3" ht="36" customHeight="1">
      <c r="B3" s="11" t="inlineStr">
        <is>
          <t>各テーマの小テーマごとに、将来「こうなっていたい」望みを書き出します。
📌 ヒント：「すでに実現した」気持ちで、過去形・断定形で書くと効果的です。1テーマ平均6〜8個が目安。</t>
        </is>
      </c>
    </row>
    <row r="5" ht="30" customHeight="1">
      <c r="B5" s="42" t="inlineStr">
        <is>
          <t>仕事・キャリア</t>
        </is>
      </c>
      <c r="G5" s="42" t="inlineStr">
        <is>
          <t>お金・経済</t>
        </is>
      </c>
    </row>
    <row r="6" ht="24" customHeight="1">
      <c r="B6" s="43" t="inlineStr">
        <is>
          <t>#</t>
        </is>
      </c>
      <c r="C6" s="44" t="inlineStr">
        <is>
          <t>やりがい</t>
        </is>
      </c>
      <c r="D6" s="43" t="inlineStr">
        <is>
          <t>#</t>
        </is>
      </c>
      <c r="E6" s="44" t="inlineStr">
        <is>
          <t>収入</t>
        </is>
      </c>
      <c r="G6" s="43" t="inlineStr">
        <is>
          <t>#</t>
        </is>
      </c>
      <c r="H6" s="44" t="inlineStr">
        <is>
          <t>貯蓄</t>
        </is>
      </c>
      <c r="I6" s="43" t="inlineStr">
        <is>
          <t>#</t>
        </is>
      </c>
      <c r="J6" s="44" t="inlineStr">
        <is>
          <t>投資</t>
        </is>
      </c>
    </row>
    <row r="7" ht="24" customHeight="1">
      <c r="B7" s="45" t="n">
        <v>1</v>
      </c>
      <c r="C7" s="46" t="n"/>
      <c r="D7" s="45" t="n">
        <v>1</v>
      </c>
      <c r="E7" s="46" t="n"/>
      <c r="G7" s="45" t="n">
        <v>1</v>
      </c>
      <c r="H7" s="46" t="n"/>
      <c r="I7" s="45" t="n">
        <v>1</v>
      </c>
      <c r="J7" s="46" t="n"/>
    </row>
    <row r="8" ht="24" customHeight="1">
      <c r="B8" s="45" t="n">
        <v>2</v>
      </c>
      <c r="C8" s="46" t="n"/>
      <c r="D8" s="45" t="n">
        <v>2</v>
      </c>
      <c r="E8" s="46" t="n"/>
      <c r="G8" s="45" t="n">
        <v>2</v>
      </c>
      <c r="H8" s="46" t="n"/>
      <c r="I8" s="45" t="n">
        <v>2</v>
      </c>
      <c r="J8" s="46" t="n"/>
    </row>
    <row r="9" ht="24" customHeight="1">
      <c r="B9" s="45" t="n">
        <v>3</v>
      </c>
      <c r="C9" s="46" t="n"/>
      <c r="D9" s="45" t="n">
        <v>3</v>
      </c>
      <c r="E9" s="46" t="n"/>
      <c r="G9" s="45" t="n">
        <v>3</v>
      </c>
      <c r="H9" s="46" t="n"/>
      <c r="I9" s="45" t="n">
        <v>3</v>
      </c>
      <c r="J9" s="46" t="n"/>
    </row>
    <row r="10" ht="24" customHeight="1">
      <c r="B10" s="45" t="n">
        <v>4</v>
      </c>
      <c r="C10" s="46" t="n"/>
      <c r="D10" s="45" t="n">
        <v>4</v>
      </c>
      <c r="E10" s="46" t="n"/>
      <c r="G10" s="45" t="n">
        <v>4</v>
      </c>
      <c r="H10" s="46" t="n"/>
      <c r="I10" s="45" t="n">
        <v>4</v>
      </c>
      <c r="J10" s="46" t="n"/>
    </row>
    <row r="11" ht="24" customHeight="1">
      <c r="B11" s="45" t="n">
        <v>5</v>
      </c>
      <c r="C11" s="46" t="n"/>
      <c r="D11" s="45" t="n">
        <v>5</v>
      </c>
      <c r="E11" s="46" t="n"/>
      <c r="G11" s="45" t="n">
        <v>5</v>
      </c>
      <c r="H11" s="46" t="n"/>
      <c r="I11" s="45" t="n">
        <v>5</v>
      </c>
      <c r="J11" s="46" t="n"/>
    </row>
    <row r="12" ht="24" customHeight="1">
      <c r="B12" s="45" t="n">
        <v>6</v>
      </c>
      <c r="C12" s="46" t="n"/>
      <c r="D12" s="45" t="n">
        <v>6</v>
      </c>
      <c r="E12" s="46" t="n"/>
      <c r="G12" s="45" t="n">
        <v>6</v>
      </c>
      <c r="H12" s="46" t="n"/>
      <c r="I12" s="45" t="n">
        <v>6</v>
      </c>
      <c r="J12" s="46" t="n"/>
    </row>
    <row r="13" ht="24" customHeight="1">
      <c r="B13" s="45" t="n">
        <v>7</v>
      </c>
      <c r="C13" s="46" t="n"/>
      <c r="D13" s="45" t="n">
        <v>7</v>
      </c>
      <c r="E13" s="46" t="n"/>
      <c r="G13" s="45" t="n">
        <v>7</v>
      </c>
      <c r="H13" s="46" t="n"/>
      <c r="I13" s="45" t="n">
        <v>7</v>
      </c>
      <c r="J13" s="46" t="n"/>
    </row>
    <row r="14" ht="24" customHeight="1">
      <c r="B14" s="45" t="n">
        <v>8</v>
      </c>
      <c r="C14" s="46" t="n"/>
      <c r="D14" s="45" t="n">
        <v>8</v>
      </c>
      <c r="E14" s="46" t="n"/>
      <c r="G14" s="45" t="n">
        <v>8</v>
      </c>
      <c r="H14" s="46" t="n"/>
      <c r="I14" s="45" t="n">
        <v>8</v>
      </c>
      <c r="J14" s="46" t="n"/>
    </row>
    <row r="15" ht="24" customHeight="1">
      <c r="B15" s="45" t="n">
        <v>9</v>
      </c>
      <c r="C15" s="46" t="n"/>
      <c r="D15" s="45" t="n">
        <v>9</v>
      </c>
      <c r="E15" s="46" t="n"/>
      <c r="G15" s="45" t="n">
        <v>9</v>
      </c>
      <c r="H15" s="46" t="n"/>
      <c r="I15" s="45" t="n">
        <v>9</v>
      </c>
      <c r="J15" s="46" t="n"/>
    </row>
    <row r="16" ht="24" customHeight="1">
      <c r="B16" s="45" t="n">
        <v>10</v>
      </c>
      <c r="C16" s="46" t="n"/>
      <c r="D16" s="45" t="n">
        <v>10</v>
      </c>
      <c r="E16" s="46" t="n"/>
      <c r="G16" s="45" t="n">
        <v>10</v>
      </c>
      <c r="H16" s="46" t="n"/>
      <c r="I16" s="45" t="n">
        <v>10</v>
      </c>
      <c r="J16" s="46" t="n"/>
    </row>
    <row r="17" ht="10" customHeight="1"/>
    <row r="18" ht="30" customHeight="1">
      <c r="B18" s="42" t="inlineStr">
        <is>
          <t>健康</t>
        </is>
      </c>
      <c r="G18" s="42" t="inlineStr">
        <is>
          <t>家族・パートナー</t>
        </is>
      </c>
    </row>
    <row r="19" ht="24" customHeight="1">
      <c r="B19" s="43" t="inlineStr">
        <is>
          <t>#</t>
        </is>
      </c>
      <c r="C19" s="44" t="inlineStr">
        <is>
          <t>身体</t>
        </is>
      </c>
      <c r="D19" s="43" t="inlineStr">
        <is>
          <t>#</t>
        </is>
      </c>
      <c r="E19" s="44" t="inlineStr">
        <is>
          <t>メンタル</t>
        </is>
      </c>
      <c r="G19" s="43" t="inlineStr">
        <is>
          <t>#</t>
        </is>
      </c>
      <c r="H19" s="44" t="inlineStr">
        <is>
          <t>家族</t>
        </is>
      </c>
      <c r="I19" s="43" t="inlineStr">
        <is>
          <t>#</t>
        </is>
      </c>
      <c r="J19" s="44" t="inlineStr">
        <is>
          <t>パートナー</t>
        </is>
      </c>
    </row>
    <row r="20" ht="24" customHeight="1">
      <c r="B20" s="45" t="n">
        <v>1</v>
      </c>
      <c r="C20" s="46" t="n"/>
      <c r="D20" s="45" t="n">
        <v>1</v>
      </c>
      <c r="E20" s="46" t="n"/>
      <c r="G20" s="45" t="n">
        <v>1</v>
      </c>
      <c r="H20" s="46" t="n"/>
      <c r="I20" s="45" t="n">
        <v>1</v>
      </c>
      <c r="J20" s="46" t="n"/>
    </row>
    <row r="21" ht="24" customHeight="1">
      <c r="B21" s="45" t="n">
        <v>2</v>
      </c>
      <c r="C21" s="46" t="n"/>
      <c r="D21" s="45" t="n">
        <v>2</v>
      </c>
      <c r="E21" s="46" t="n"/>
      <c r="G21" s="45" t="n">
        <v>2</v>
      </c>
      <c r="H21" s="46" t="n"/>
      <c r="I21" s="45" t="n">
        <v>2</v>
      </c>
      <c r="J21" s="46" t="n"/>
    </row>
    <row r="22" ht="24" customHeight="1">
      <c r="B22" s="45" t="n">
        <v>3</v>
      </c>
      <c r="C22" s="46" t="n"/>
      <c r="D22" s="45" t="n">
        <v>3</v>
      </c>
      <c r="E22" s="46" t="n"/>
      <c r="G22" s="45" t="n">
        <v>3</v>
      </c>
      <c r="H22" s="46" t="n"/>
      <c r="I22" s="45" t="n">
        <v>3</v>
      </c>
      <c r="J22" s="46" t="n"/>
    </row>
    <row r="23" ht="24" customHeight="1">
      <c r="B23" s="45" t="n">
        <v>4</v>
      </c>
      <c r="C23" s="46" t="n"/>
      <c r="D23" s="45" t="n">
        <v>4</v>
      </c>
      <c r="E23" s="46" t="n"/>
      <c r="G23" s="45" t="n">
        <v>4</v>
      </c>
      <c r="H23" s="46" t="n"/>
      <c r="I23" s="45" t="n">
        <v>4</v>
      </c>
      <c r="J23" s="46" t="n"/>
    </row>
    <row r="24" ht="24" customHeight="1">
      <c r="B24" s="45" t="n">
        <v>5</v>
      </c>
      <c r="C24" s="46" t="n"/>
      <c r="D24" s="45" t="n">
        <v>5</v>
      </c>
      <c r="E24" s="46" t="n"/>
      <c r="G24" s="45" t="n">
        <v>5</v>
      </c>
      <c r="H24" s="46" t="n"/>
      <c r="I24" s="45" t="n">
        <v>5</v>
      </c>
      <c r="J24" s="46" t="n"/>
    </row>
    <row r="25" ht="24" customHeight="1">
      <c r="B25" s="45" t="n">
        <v>6</v>
      </c>
      <c r="C25" s="46" t="n"/>
      <c r="D25" s="45" t="n">
        <v>6</v>
      </c>
      <c r="E25" s="46" t="n"/>
      <c r="G25" s="45" t="n">
        <v>6</v>
      </c>
      <c r="H25" s="46" t="n"/>
      <c r="I25" s="45" t="n">
        <v>6</v>
      </c>
      <c r="J25" s="46" t="n"/>
    </row>
    <row r="26" ht="24" customHeight="1">
      <c r="B26" s="45" t="n">
        <v>7</v>
      </c>
      <c r="C26" s="46" t="n"/>
      <c r="D26" s="45" t="n">
        <v>7</v>
      </c>
      <c r="E26" s="46" t="n"/>
      <c r="G26" s="45" t="n">
        <v>7</v>
      </c>
      <c r="H26" s="46" t="n"/>
      <c r="I26" s="45" t="n">
        <v>7</v>
      </c>
      <c r="J26" s="46" t="n"/>
    </row>
    <row r="27" ht="24" customHeight="1">
      <c r="B27" s="45" t="n">
        <v>8</v>
      </c>
      <c r="C27" s="46" t="n"/>
      <c r="D27" s="45" t="n">
        <v>8</v>
      </c>
      <c r="E27" s="46" t="n"/>
      <c r="G27" s="45" t="n">
        <v>8</v>
      </c>
      <c r="H27" s="46" t="n"/>
      <c r="I27" s="45" t="n">
        <v>8</v>
      </c>
      <c r="J27" s="46" t="n"/>
    </row>
    <row r="28" ht="24" customHeight="1">
      <c r="B28" s="45" t="n">
        <v>9</v>
      </c>
      <c r="C28" s="46" t="n"/>
      <c r="D28" s="45" t="n">
        <v>9</v>
      </c>
      <c r="E28" s="46" t="n"/>
      <c r="G28" s="45" t="n">
        <v>9</v>
      </c>
      <c r="H28" s="46" t="n"/>
      <c r="I28" s="45" t="n">
        <v>9</v>
      </c>
      <c r="J28" s="46" t="n"/>
    </row>
    <row r="29" ht="24" customHeight="1">
      <c r="B29" s="45" t="n">
        <v>10</v>
      </c>
      <c r="C29" s="46" t="n"/>
      <c r="D29" s="45" t="n">
        <v>10</v>
      </c>
      <c r="E29" s="46" t="n"/>
      <c r="G29" s="45" t="n">
        <v>10</v>
      </c>
      <c r="H29" s="46" t="n"/>
      <c r="I29" s="45" t="n">
        <v>10</v>
      </c>
      <c r="J29" s="46" t="n"/>
    </row>
    <row r="30" ht="10" customHeight="1"/>
    <row r="31" ht="30" customHeight="1">
      <c r="B31" s="42" t="inlineStr">
        <is>
          <t>人間関係</t>
        </is>
      </c>
      <c r="G31" s="42" t="inlineStr">
        <is>
          <t>精神性</t>
        </is>
      </c>
    </row>
    <row r="32" ht="24" customHeight="1">
      <c r="B32" s="43" t="inlineStr">
        <is>
          <t>#</t>
        </is>
      </c>
      <c r="C32" s="44" t="inlineStr">
        <is>
          <t>友人・知人</t>
        </is>
      </c>
      <c r="D32" s="43" t="inlineStr">
        <is>
          <t>#</t>
        </is>
      </c>
      <c r="E32" s="44" t="inlineStr">
        <is>
          <t>仕事関係</t>
        </is>
      </c>
      <c r="G32" s="43" t="inlineStr">
        <is>
          <t>#</t>
        </is>
      </c>
      <c r="H32" s="44" t="inlineStr">
        <is>
          <t>ミッション</t>
        </is>
      </c>
      <c r="I32" s="43" t="inlineStr">
        <is>
          <t>#</t>
        </is>
      </c>
      <c r="J32" s="44" t="inlineStr">
        <is>
          <t>学び</t>
        </is>
      </c>
    </row>
    <row r="33" ht="24" customHeight="1">
      <c r="B33" s="45" t="n">
        <v>1</v>
      </c>
      <c r="C33" s="46" t="n"/>
      <c r="D33" s="45" t="n">
        <v>1</v>
      </c>
      <c r="E33" s="46" t="n"/>
      <c r="G33" s="45" t="n">
        <v>1</v>
      </c>
      <c r="H33" s="46" t="n"/>
      <c r="I33" s="45" t="n">
        <v>1</v>
      </c>
      <c r="J33" s="46" t="n"/>
    </row>
    <row r="34" ht="24" customHeight="1">
      <c r="B34" s="45" t="n">
        <v>2</v>
      </c>
      <c r="C34" s="46" t="n"/>
      <c r="D34" s="45" t="n">
        <v>2</v>
      </c>
      <c r="E34" s="46" t="n"/>
      <c r="G34" s="45" t="n">
        <v>2</v>
      </c>
      <c r="H34" s="46" t="n"/>
      <c r="I34" s="45" t="n">
        <v>2</v>
      </c>
      <c r="J34" s="46" t="n"/>
    </row>
    <row r="35" ht="24" customHeight="1">
      <c r="B35" s="45" t="n">
        <v>3</v>
      </c>
      <c r="C35" s="46" t="n"/>
      <c r="D35" s="45" t="n">
        <v>3</v>
      </c>
      <c r="E35" s="46" t="n"/>
      <c r="G35" s="45" t="n">
        <v>3</v>
      </c>
      <c r="H35" s="46" t="n"/>
      <c r="I35" s="45" t="n">
        <v>3</v>
      </c>
      <c r="J35" s="46" t="n"/>
    </row>
    <row r="36" ht="24" customHeight="1">
      <c r="B36" s="45" t="n">
        <v>4</v>
      </c>
      <c r="C36" s="46" t="n"/>
      <c r="D36" s="45" t="n">
        <v>4</v>
      </c>
      <c r="E36" s="46" t="n"/>
      <c r="G36" s="45" t="n">
        <v>4</v>
      </c>
      <c r="H36" s="46" t="n"/>
      <c r="I36" s="45" t="n">
        <v>4</v>
      </c>
      <c r="J36" s="46" t="n"/>
    </row>
    <row r="37" ht="24" customHeight="1">
      <c r="B37" s="45" t="n">
        <v>5</v>
      </c>
      <c r="C37" s="46" t="n"/>
      <c r="D37" s="45" t="n">
        <v>5</v>
      </c>
      <c r="E37" s="46" t="n"/>
      <c r="G37" s="45" t="n">
        <v>5</v>
      </c>
      <c r="H37" s="46" t="n"/>
      <c r="I37" s="45" t="n">
        <v>5</v>
      </c>
      <c r="J37" s="46" t="n"/>
    </row>
    <row r="38" ht="24" customHeight="1">
      <c r="B38" s="45" t="n">
        <v>6</v>
      </c>
      <c r="C38" s="46" t="n"/>
      <c r="D38" s="45" t="n">
        <v>6</v>
      </c>
      <c r="E38" s="46" t="n"/>
      <c r="G38" s="45" t="n">
        <v>6</v>
      </c>
      <c r="H38" s="46" t="n"/>
      <c r="I38" s="45" t="n">
        <v>6</v>
      </c>
      <c r="J38" s="46" t="n"/>
    </row>
    <row r="39" ht="24" customHeight="1">
      <c r="B39" s="45" t="n">
        <v>7</v>
      </c>
      <c r="C39" s="46" t="n"/>
      <c r="D39" s="45" t="n">
        <v>7</v>
      </c>
      <c r="E39" s="46" t="n"/>
      <c r="G39" s="45" t="n">
        <v>7</v>
      </c>
      <c r="H39" s="46" t="n"/>
      <c r="I39" s="45" t="n">
        <v>7</v>
      </c>
      <c r="J39" s="46" t="n"/>
    </row>
    <row r="40" ht="24" customHeight="1">
      <c r="B40" s="45" t="n">
        <v>8</v>
      </c>
      <c r="C40" s="46" t="n"/>
      <c r="D40" s="45" t="n">
        <v>8</v>
      </c>
      <c r="E40" s="46" t="n"/>
      <c r="G40" s="45" t="n">
        <v>8</v>
      </c>
      <c r="H40" s="46" t="n"/>
      <c r="I40" s="45" t="n">
        <v>8</v>
      </c>
      <c r="J40" s="46" t="n"/>
    </row>
    <row r="41" ht="24" customHeight="1">
      <c r="B41" s="45" t="n">
        <v>9</v>
      </c>
      <c r="C41" s="46" t="n"/>
      <c r="D41" s="45" t="n">
        <v>9</v>
      </c>
      <c r="E41" s="46" t="n"/>
      <c r="G41" s="45" t="n">
        <v>9</v>
      </c>
      <c r="H41" s="46" t="n"/>
      <c r="I41" s="45" t="n">
        <v>9</v>
      </c>
      <c r="J41" s="46" t="n"/>
    </row>
    <row r="42" ht="24" customHeight="1">
      <c r="B42" s="45" t="n">
        <v>10</v>
      </c>
      <c r="C42" s="46" t="n"/>
      <c r="D42" s="45" t="n">
        <v>10</v>
      </c>
      <c r="E42" s="46" t="n"/>
      <c r="G42" s="45" t="n">
        <v>10</v>
      </c>
      <c r="H42" s="46" t="n"/>
      <c r="I42" s="45" t="n">
        <v>10</v>
      </c>
      <c r="J42" s="46" t="n"/>
    </row>
    <row r="43" ht="10" customHeight="1"/>
    <row r="44" ht="30" customHeight="1">
      <c r="B44" s="42" t="inlineStr">
        <is>
          <t>遊び・余暇</t>
        </is>
      </c>
      <c r="G44" s="42" t="inlineStr">
        <is>
          <t>環境</t>
        </is>
      </c>
    </row>
    <row r="45" ht="24" customHeight="1">
      <c r="B45" s="43" t="inlineStr">
        <is>
          <t>#</t>
        </is>
      </c>
      <c r="C45" s="44" t="inlineStr">
        <is>
          <t>行きたい所</t>
        </is>
      </c>
      <c r="D45" s="43" t="inlineStr">
        <is>
          <t>#</t>
        </is>
      </c>
      <c r="E45" s="44" t="inlineStr">
        <is>
          <t>欲しいもの</t>
        </is>
      </c>
      <c r="G45" s="43" t="inlineStr">
        <is>
          <t>#</t>
        </is>
      </c>
      <c r="H45" s="44" t="inlineStr">
        <is>
          <t>住居</t>
        </is>
      </c>
      <c r="I45" s="43" t="inlineStr">
        <is>
          <t>#</t>
        </is>
      </c>
      <c r="J45" s="44" t="inlineStr">
        <is>
          <t>環境</t>
        </is>
      </c>
    </row>
    <row r="46" ht="24" customHeight="1">
      <c r="B46" s="45" t="n">
        <v>1</v>
      </c>
      <c r="C46" s="46" t="n"/>
      <c r="D46" s="45" t="n">
        <v>1</v>
      </c>
      <c r="E46" s="46" t="n"/>
      <c r="G46" s="45" t="n">
        <v>1</v>
      </c>
      <c r="H46" s="46" t="n"/>
      <c r="I46" s="45" t="n">
        <v>1</v>
      </c>
      <c r="J46" s="46" t="n"/>
    </row>
    <row r="47" ht="24" customHeight="1">
      <c r="B47" s="45" t="n">
        <v>2</v>
      </c>
      <c r="C47" s="46" t="n"/>
      <c r="D47" s="45" t="n">
        <v>2</v>
      </c>
      <c r="E47" s="46" t="n"/>
      <c r="G47" s="45" t="n">
        <v>2</v>
      </c>
      <c r="H47" s="46" t="n"/>
      <c r="I47" s="45" t="n">
        <v>2</v>
      </c>
      <c r="J47" s="46" t="n"/>
    </row>
    <row r="48" ht="24" customHeight="1">
      <c r="B48" s="45" t="n">
        <v>3</v>
      </c>
      <c r="C48" s="46" t="n"/>
      <c r="D48" s="45" t="n">
        <v>3</v>
      </c>
      <c r="E48" s="46" t="n"/>
      <c r="G48" s="45" t="n">
        <v>3</v>
      </c>
      <c r="H48" s="46" t="n"/>
      <c r="I48" s="45" t="n">
        <v>3</v>
      </c>
      <c r="J48" s="46" t="n"/>
    </row>
    <row r="49" ht="24" customHeight="1">
      <c r="B49" s="45" t="n">
        <v>4</v>
      </c>
      <c r="C49" s="46" t="n"/>
      <c r="D49" s="45" t="n">
        <v>4</v>
      </c>
      <c r="E49" s="46" t="n"/>
      <c r="G49" s="45" t="n">
        <v>4</v>
      </c>
      <c r="H49" s="46" t="n"/>
      <c r="I49" s="45" t="n">
        <v>4</v>
      </c>
      <c r="J49" s="46" t="n"/>
    </row>
    <row r="50" ht="24" customHeight="1">
      <c r="B50" s="45" t="n">
        <v>5</v>
      </c>
      <c r="C50" s="46" t="n"/>
      <c r="D50" s="45" t="n">
        <v>5</v>
      </c>
      <c r="E50" s="46" t="n"/>
      <c r="G50" s="45" t="n">
        <v>5</v>
      </c>
      <c r="H50" s="46" t="n"/>
      <c r="I50" s="45" t="n">
        <v>5</v>
      </c>
      <c r="J50" s="46" t="n"/>
    </row>
    <row r="51" ht="24" customHeight="1">
      <c r="B51" s="45" t="n">
        <v>6</v>
      </c>
      <c r="C51" s="46" t="n"/>
      <c r="D51" s="45" t="n">
        <v>6</v>
      </c>
      <c r="E51" s="46" t="n"/>
      <c r="G51" s="45" t="n">
        <v>6</v>
      </c>
      <c r="H51" s="46" t="n"/>
      <c r="I51" s="45" t="n">
        <v>6</v>
      </c>
      <c r="J51" s="46" t="n"/>
    </row>
    <row r="52" ht="24" customHeight="1">
      <c r="B52" s="45" t="n">
        <v>7</v>
      </c>
      <c r="C52" s="46" t="n"/>
      <c r="D52" s="45" t="n">
        <v>7</v>
      </c>
      <c r="E52" s="46" t="n"/>
      <c r="G52" s="45" t="n">
        <v>7</v>
      </c>
      <c r="H52" s="46" t="n"/>
      <c r="I52" s="45" t="n">
        <v>7</v>
      </c>
      <c r="J52" s="46" t="n"/>
    </row>
    <row r="53" ht="24" customHeight="1">
      <c r="B53" s="45" t="n">
        <v>8</v>
      </c>
      <c r="C53" s="46" t="n"/>
      <c r="D53" s="45" t="n">
        <v>8</v>
      </c>
      <c r="E53" s="46" t="n"/>
      <c r="G53" s="45" t="n">
        <v>8</v>
      </c>
      <c r="H53" s="46" t="n"/>
      <c r="I53" s="45" t="n">
        <v>8</v>
      </c>
      <c r="J53" s="46" t="n"/>
    </row>
    <row r="54" ht="24" customHeight="1">
      <c r="B54" s="45" t="n">
        <v>9</v>
      </c>
      <c r="C54" s="46" t="n"/>
      <c r="D54" s="45" t="n">
        <v>9</v>
      </c>
      <c r="E54" s="46" t="n"/>
      <c r="G54" s="45" t="n">
        <v>9</v>
      </c>
      <c r="H54" s="46" t="n"/>
      <c r="I54" s="45" t="n">
        <v>9</v>
      </c>
      <c r="J54" s="46" t="n"/>
    </row>
    <row r="55" ht="24" customHeight="1">
      <c r="B55" s="45" t="n">
        <v>10</v>
      </c>
      <c r="C55" s="46" t="n"/>
      <c r="D55" s="45" t="n">
        <v>10</v>
      </c>
      <c r="E55" s="46" t="n"/>
      <c r="G55" s="45" t="n">
        <v>10</v>
      </c>
      <c r="H55" s="46" t="n"/>
      <c r="I55" s="45" t="n">
        <v>10</v>
      </c>
      <c r="J55" s="46" t="n"/>
    </row>
    <row r="56" ht="10" customHeight="1"/>
  </sheetData>
  <mergeCells count="10">
    <mergeCell ref="G44:J44"/>
    <mergeCell ref="B31:E31"/>
    <mergeCell ref="B18:E18"/>
    <mergeCell ref="G18:J18"/>
    <mergeCell ref="G31:J31"/>
    <mergeCell ref="B44:E44"/>
    <mergeCell ref="B5:E5"/>
    <mergeCell ref="B2:K2"/>
    <mergeCell ref="G5:J5"/>
    <mergeCell ref="B3:K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7"/>
  <sheetViews>
    <sheetView showGridLines="0" workbookViewId="0">
      <selection activeCell="A1" sqref="A1"/>
    </sheetView>
  </sheetViews>
  <sheetFormatPr baseColWidth="8" defaultRowHeight="15"/>
  <cols>
    <col width="3" customWidth="1" min="1" max="1"/>
    <col width="8" customWidth="1" min="2" max="2"/>
    <col width="18" customWidth="1" min="3" max="3"/>
    <col width="14" customWidth="1" min="4" max="4"/>
    <col width="60" customWidth="1" min="5" max="5"/>
    <col width="3" customWidth="1" min="6" max="6"/>
  </cols>
  <sheetData>
    <row r="1" ht="6" customHeight="1">
      <c r="A1" s="1" t="n"/>
      <c r="B1" s="1" t="n"/>
      <c r="C1" s="1" t="n"/>
      <c r="D1" s="1" t="n"/>
      <c r="E1" s="1" t="n"/>
      <c r="F1" s="1" t="n"/>
      <c r="G1" s="1" t="n"/>
    </row>
    <row r="2" ht="38" customHeight="1">
      <c r="B2" s="10" t="inlineStr">
        <is>
          <t>望むこと 100個</t>
        </is>
      </c>
    </row>
    <row r="3" ht="28" customHeight="1">
      <c r="B3" s="27" t="inlineStr">
        <is>
          <t>④テーマ別シートに入力した「望むこと」が、ここに自動で集約されます。</t>
        </is>
      </c>
    </row>
    <row r="5" ht="28" customHeight="1">
      <c r="B5" s="12" t="inlineStr">
        <is>
          <t>No.</t>
        </is>
      </c>
      <c r="C5" s="12" t="inlineStr">
        <is>
          <t>大テーマ</t>
        </is>
      </c>
      <c r="D5" s="12" t="inlineStr">
        <is>
          <t>小テーマ</t>
        </is>
      </c>
      <c r="E5" s="12" t="inlineStr">
        <is>
          <t>望むこと</t>
        </is>
      </c>
    </row>
    <row r="6" ht="24" customHeight="1">
      <c r="B6" s="47" t="n">
        <v>1</v>
      </c>
      <c r="C6" s="48" t="inlineStr">
        <is>
          <t>仕事・キャリア</t>
        </is>
      </c>
      <c r="D6" s="48" t="inlineStr">
        <is>
          <t>やりがい</t>
        </is>
      </c>
      <c r="E6" s="46">
        <f>'④テーマ別 望むこと'!C7</f>
        <v/>
      </c>
    </row>
    <row r="7" ht="24" customHeight="1">
      <c r="B7" s="49" t="n">
        <v>2</v>
      </c>
      <c r="C7" s="50" t="inlineStr">
        <is>
          <t>仕事・キャリア</t>
        </is>
      </c>
      <c r="D7" s="50" t="inlineStr">
        <is>
          <t>収入</t>
        </is>
      </c>
      <c r="E7" s="46">
        <f>'④テーマ別 望むこと'!E7</f>
        <v/>
      </c>
    </row>
    <row r="8" ht="24" customHeight="1">
      <c r="B8" s="47" t="n">
        <v>3</v>
      </c>
      <c r="C8" s="48" t="inlineStr">
        <is>
          <t>仕事・キャリア</t>
        </is>
      </c>
      <c r="D8" s="48" t="inlineStr">
        <is>
          <t>やりがい</t>
        </is>
      </c>
      <c r="E8" s="46">
        <f>'④テーマ別 望むこと'!C8</f>
        <v/>
      </c>
    </row>
    <row r="9" ht="24" customHeight="1">
      <c r="B9" s="49" t="n">
        <v>4</v>
      </c>
      <c r="C9" s="50" t="inlineStr">
        <is>
          <t>仕事・キャリア</t>
        </is>
      </c>
      <c r="D9" s="50" t="inlineStr">
        <is>
          <t>収入</t>
        </is>
      </c>
      <c r="E9" s="46">
        <f>'④テーマ別 望むこと'!E8</f>
        <v/>
      </c>
    </row>
    <row r="10" ht="24" customHeight="1">
      <c r="B10" s="47" t="n">
        <v>5</v>
      </c>
      <c r="C10" s="48" t="inlineStr">
        <is>
          <t>仕事・キャリア</t>
        </is>
      </c>
      <c r="D10" s="48" t="inlineStr">
        <is>
          <t>やりがい</t>
        </is>
      </c>
      <c r="E10" s="46">
        <f>'④テーマ別 望むこと'!C9</f>
        <v/>
      </c>
    </row>
    <row r="11" ht="24" customHeight="1">
      <c r="B11" s="49" t="n">
        <v>6</v>
      </c>
      <c r="C11" s="50" t="inlineStr">
        <is>
          <t>仕事・キャリア</t>
        </is>
      </c>
      <c r="D11" s="50" t="inlineStr">
        <is>
          <t>収入</t>
        </is>
      </c>
      <c r="E11" s="46">
        <f>'④テーマ別 望むこと'!E9</f>
        <v/>
      </c>
    </row>
    <row r="12" ht="24" customHeight="1">
      <c r="B12" s="47" t="n">
        <v>7</v>
      </c>
      <c r="C12" s="48" t="inlineStr">
        <is>
          <t>仕事・キャリア</t>
        </is>
      </c>
      <c r="D12" s="48" t="inlineStr">
        <is>
          <t>やりがい</t>
        </is>
      </c>
      <c r="E12" s="46">
        <f>'④テーマ別 望むこと'!C10</f>
        <v/>
      </c>
    </row>
    <row r="13" ht="24" customHeight="1">
      <c r="B13" s="49" t="n">
        <v>8</v>
      </c>
      <c r="C13" s="50" t="inlineStr">
        <is>
          <t>仕事・キャリア</t>
        </is>
      </c>
      <c r="D13" s="50" t="inlineStr">
        <is>
          <t>収入</t>
        </is>
      </c>
      <c r="E13" s="46">
        <f>'④テーマ別 望むこと'!E10</f>
        <v/>
      </c>
    </row>
    <row r="14" ht="24" customHeight="1">
      <c r="B14" s="47" t="n">
        <v>9</v>
      </c>
      <c r="C14" s="48" t="inlineStr">
        <is>
          <t>仕事・キャリア</t>
        </is>
      </c>
      <c r="D14" s="48" t="inlineStr">
        <is>
          <t>やりがい</t>
        </is>
      </c>
      <c r="E14" s="46">
        <f>'④テーマ別 望むこと'!C11</f>
        <v/>
      </c>
    </row>
    <row r="15" ht="24" customHeight="1">
      <c r="B15" s="49" t="n">
        <v>10</v>
      </c>
      <c r="C15" s="50" t="inlineStr">
        <is>
          <t>仕事・キャリア</t>
        </is>
      </c>
      <c r="D15" s="50" t="inlineStr">
        <is>
          <t>収入</t>
        </is>
      </c>
      <c r="E15" s="46">
        <f>'④テーマ別 望むこと'!E11</f>
        <v/>
      </c>
    </row>
    <row r="16" ht="24" customHeight="1">
      <c r="B16" s="47" t="n">
        <v>11</v>
      </c>
      <c r="C16" s="48" t="inlineStr">
        <is>
          <t>仕事・キャリア</t>
        </is>
      </c>
      <c r="D16" s="48" t="inlineStr">
        <is>
          <t>やりがい</t>
        </is>
      </c>
      <c r="E16" s="46">
        <f>'④テーマ別 望むこと'!C12</f>
        <v/>
      </c>
    </row>
    <row r="17" ht="24" customHeight="1">
      <c r="B17" s="49" t="n">
        <v>12</v>
      </c>
      <c r="C17" s="50" t="inlineStr">
        <is>
          <t>仕事・キャリア</t>
        </is>
      </c>
      <c r="D17" s="50" t="inlineStr">
        <is>
          <t>収入</t>
        </is>
      </c>
      <c r="E17" s="46">
        <f>'④テーマ別 望むこと'!E12</f>
        <v/>
      </c>
    </row>
    <row r="18" ht="24" customHeight="1">
      <c r="B18" s="47" t="n">
        <v>13</v>
      </c>
      <c r="C18" s="48" t="inlineStr">
        <is>
          <t>仕事・キャリア</t>
        </is>
      </c>
      <c r="D18" s="48" t="inlineStr">
        <is>
          <t>やりがい</t>
        </is>
      </c>
      <c r="E18" s="46">
        <f>'④テーマ別 望むこと'!C13</f>
        <v/>
      </c>
    </row>
    <row r="19" ht="24" customHeight="1">
      <c r="B19" s="49" t="n">
        <v>14</v>
      </c>
      <c r="C19" s="50" t="inlineStr">
        <is>
          <t>仕事・キャリア</t>
        </is>
      </c>
      <c r="D19" s="50" t="inlineStr">
        <is>
          <t>収入</t>
        </is>
      </c>
      <c r="E19" s="46">
        <f>'④テーマ別 望むこと'!E13</f>
        <v/>
      </c>
    </row>
    <row r="20" ht="24" customHeight="1">
      <c r="B20" s="47" t="n">
        <v>15</v>
      </c>
      <c r="C20" s="48" t="inlineStr">
        <is>
          <t>仕事・キャリア</t>
        </is>
      </c>
      <c r="D20" s="48" t="inlineStr">
        <is>
          <t>やりがい</t>
        </is>
      </c>
      <c r="E20" s="46">
        <f>'④テーマ別 望むこと'!C14</f>
        <v/>
      </c>
    </row>
    <row r="21" ht="24" customHeight="1">
      <c r="B21" s="49" t="n">
        <v>16</v>
      </c>
      <c r="C21" s="50" t="inlineStr">
        <is>
          <t>仕事・キャリア</t>
        </is>
      </c>
      <c r="D21" s="50" t="inlineStr">
        <is>
          <t>収入</t>
        </is>
      </c>
      <c r="E21" s="46">
        <f>'④テーマ別 望むこと'!E14</f>
        <v/>
      </c>
    </row>
    <row r="22" ht="24" customHeight="1">
      <c r="B22" s="47" t="n">
        <v>17</v>
      </c>
      <c r="C22" s="48" t="inlineStr">
        <is>
          <t>仕事・キャリア</t>
        </is>
      </c>
      <c r="D22" s="48" t="inlineStr">
        <is>
          <t>やりがい</t>
        </is>
      </c>
      <c r="E22" s="46">
        <f>'④テーマ別 望むこと'!C15</f>
        <v/>
      </c>
    </row>
    <row r="23" ht="24" customHeight="1">
      <c r="B23" s="49" t="n">
        <v>18</v>
      </c>
      <c r="C23" s="50" t="inlineStr">
        <is>
          <t>仕事・キャリア</t>
        </is>
      </c>
      <c r="D23" s="50" t="inlineStr">
        <is>
          <t>収入</t>
        </is>
      </c>
      <c r="E23" s="46">
        <f>'④テーマ別 望むこと'!E15</f>
        <v/>
      </c>
    </row>
    <row r="24" ht="24" customHeight="1">
      <c r="B24" s="47" t="n">
        <v>19</v>
      </c>
      <c r="C24" s="48" t="inlineStr">
        <is>
          <t>仕事・キャリア</t>
        </is>
      </c>
      <c r="D24" s="48" t="inlineStr">
        <is>
          <t>やりがい</t>
        </is>
      </c>
      <c r="E24" s="46">
        <f>'④テーマ別 望むこと'!C16</f>
        <v/>
      </c>
    </row>
    <row r="25" ht="24" customHeight="1">
      <c r="B25" s="49" t="n">
        <v>20</v>
      </c>
      <c r="C25" s="50" t="inlineStr">
        <is>
          <t>仕事・キャリア</t>
        </is>
      </c>
      <c r="D25" s="50" t="inlineStr">
        <is>
          <t>収入</t>
        </is>
      </c>
      <c r="E25" s="46">
        <f>'④テーマ別 望むこと'!E16</f>
        <v/>
      </c>
    </row>
    <row r="26" ht="24" customHeight="1">
      <c r="B26" s="47" t="n">
        <v>21</v>
      </c>
      <c r="C26" s="48" t="inlineStr">
        <is>
          <t>お金・経済</t>
        </is>
      </c>
      <c r="D26" s="48" t="inlineStr">
        <is>
          <t>貯蓄</t>
        </is>
      </c>
      <c r="E26" s="46">
        <f>'④テーマ別 望むこと'!H7</f>
        <v/>
      </c>
    </row>
    <row r="27" ht="24" customHeight="1">
      <c r="B27" s="49" t="n">
        <v>22</v>
      </c>
      <c r="C27" s="50" t="inlineStr">
        <is>
          <t>お金・経済</t>
        </is>
      </c>
      <c r="D27" s="50" t="inlineStr">
        <is>
          <t>投資</t>
        </is>
      </c>
      <c r="E27" s="46">
        <f>'④テーマ別 望むこと'!J7</f>
        <v/>
      </c>
    </row>
    <row r="28" ht="24" customHeight="1">
      <c r="B28" s="47" t="n">
        <v>23</v>
      </c>
      <c r="C28" s="48" t="inlineStr">
        <is>
          <t>お金・経済</t>
        </is>
      </c>
      <c r="D28" s="48" t="inlineStr">
        <is>
          <t>貯蓄</t>
        </is>
      </c>
      <c r="E28" s="46">
        <f>'④テーマ別 望むこと'!H8</f>
        <v/>
      </c>
    </row>
    <row r="29" ht="24" customHeight="1">
      <c r="B29" s="49" t="n">
        <v>24</v>
      </c>
      <c r="C29" s="50" t="inlineStr">
        <is>
          <t>お金・経済</t>
        </is>
      </c>
      <c r="D29" s="50" t="inlineStr">
        <is>
          <t>投資</t>
        </is>
      </c>
      <c r="E29" s="46">
        <f>'④テーマ別 望むこと'!J8</f>
        <v/>
      </c>
    </row>
    <row r="30" ht="24" customHeight="1">
      <c r="B30" s="47" t="n">
        <v>25</v>
      </c>
      <c r="C30" s="48" t="inlineStr">
        <is>
          <t>お金・経済</t>
        </is>
      </c>
      <c r="D30" s="48" t="inlineStr">
        <is>
          <t>貯蓄</t>
        </is>
      </c>
      <c r="E30" s="46">
        <f>'④テーマ別 望むこと'!H9</f>
        <v/>
      </c>
    </row>
    <row r="31" ht="24" customHeight="1">
      <c r="B31" s="49" t="n">
        <v>26</v>
      </c>
      <c r="C31" s="50" t="inlineStr">
        <is>
          <t>お金・経済</t>
        </is>
      </c>
      <c r="D31" s="50" t="inlineStr">
        <is>
          <t>投資</t>
        </is>
      </c>
      <c r="E31" s="46">
        <f>'④テーマ別 望むこと'!J9</f>
        <v/>
      </c>
    </row>
    <row r="32" ht="24" customHeight="1">
      <c r="B32" s="47" t="n">
        <v>27</v>
      </c>
      <c r="C32" s="48" t="inlineStr">
        <is>
          <t>お金・経済</t>
        </is>
      </c>
      <c r="D32" s="48" t="inlineStr">
        <is>
          <t>貯蓄</t>
        </is>
      </c>
      <c r="E32" s="46">
        <f>'④テーマ別 望むこと'!H10</f>
        <v/>
      </c>
    </row>
    <row r="33" ht="24" customHeight="1">
      <c r="B33" s="49" t="n">
        <v>28</v>
      </c>
      <c r="C33" s="50" t="inlineStr">
        <is>
          <t>お金・経済</t>
        </is>
      </c>
      <c r="D33" s="50" t="inlineStr">
        <is>
          <t>投資</t>
        </is>
      </c>
      <c r="E33" s="46">
        <f>'④テーマ別 望むこと'!J10</f>
        <v/>
      </c>
    </row>
    <row r="34" ht="24" customHeight="1">
      <c r="B34" s="47" t="n">
        <v>29</v>
      </c>
      <c r="C34" s="48" t="inlineStr">
        <is>
          <t>お金・経済</t>
        </is>
      </c>
      <c r="D34" s="48" t="inlineStr">
        <is>
          <t>貯蓄</t>
        </is>
      </c>
      <c r="E34" s="46">
        <f>'④テーマ別 望むこと'!H11</f>
        <v/>
      </c>
    </row>
    <row r="35" ht="24" customHeight="1">
      <c r="B35" s="49" t="n">
        <v>30</v>
      </c>
      <c r="C35" s="50" t="inlineStr">
        <is>
          <t>お金・経済</t>
        </is>
      </c>
      <c r="D35" s="50" t="inlineStr">
        <is>
          <t>投資</t>
        </is>
      </c>
      <c r="E35" s="46">
        <f>'④テーマ別 望むこと'!J11</f>
        <v/>
      </c>
    </row>
    <row r="36" ht="24" customHeight="1">
      <c r="B36" s="47" t="n">
        <v>31</v>
      </c>
      <c r="C36" s="48" t="inlineStr">
        <is>
          <t>お金・経済</t>
        </is>
      </c>
      <c r="D36" s="48" t="inlineStr">
        <is>
          <t>貯蓄</t>
        </is>
      </c>
      <c r="E36" s="46">
        <f>'④テーマ別 望むこと'!H12</f>
        <v/>
      </c>
    </row>
    <row r="37" ht="24" customHeight="1">
      <c r="B37" s="49" t="n">
        <v>32</v>
      </c>
      <c r="C37" s="50" t="inlineStr">
        <is>
          <t>お金・経済</t>
        </is>
      </c>
      <c r="D37" s="50" t="inlineStr">
        <is>
          <t>投資</t>
        </is>
      </c>
      <c r="E37" s="46">
        <f>'④テーマ別 望むこと'!J12</f>
        <v/>
      </c>
    </row>
    <row r="38" ht="24" customHeight="1">
      <c r="B38" s="47" t="n">
        <v>33</v>
      </c>
      <c r="C38" s="48" t="inlineStr">
        <is>
          <t>お金・経済</t>
        </is>
      </c>
      <c r="D38" s="48" t="inlineStr">
        <is>
          <t>貯蓄</t>
        </is>
      </c>
      <c r="E38" s="46">
        <f>'④テーマ別 望むこと'!H13</f>
        <v/>
      </c>
    </row>
    <row r="39" ht="24" customHeight="1">
      <c r="B39" s="49" t="n">
        <v>34</v>
      </c>
      <c r="C39" s="50" t="inlineStr">
        <is>
          <t>お金・経済</t>
        </is>
      </c>
      <c r="D39" s="50" t="inlineStr">
        <is>
          <t>投資</t>
        </is>
      </c>
      <c r="E39" s="46">
        <f>'④テーマ別 望むこと'!J13</f>
        <v/>
      </c>
    </row>
    <row r="40" ht="24" customHeight="1">
      <c r="B40" s="47" t="n">
        <v>35</v>
      </c>
      <c r="C40" s="48" t="inlineStr">
        <is>
          <t>お金・経済</t>
        </is>
      </c>
      <c r="D40" s="48" t="inlineStr">
        <is>
          <t>貯蓄</t>
        </is>
      </c>
      <c r="E40" s="46">
        <f>'④テーマ別 望むこと'!H14</f>
        <v/>
      </c>
    </row>
    <row r="41" ht="24" customHeight="1">
      <c r="B41" s="49" t="n">
        <v>36</v>
      </c>
      <c r="C41" s="50" t="inlineStr">
        <is>
          <t>お金・経済</t>
        </is>
      </c>
      <c r="D41" s="50" t="inlineStr">
        <is>
          <t>投資</t>
        </is>
      </c>
      <c r="E41" s="46">
        <f>'④テーマ別 望むこと'!J14</f>
        <v/>
      </c>
    </row>
    <row r="42" ht="24" customHeight="1">
      <c r="B42" s="47" t="n">
        <v>37</v>
      </c>
      <c r="C42" s="48" t="inlineStr">
        <is>
          <t>お金・経済</t>
        </is>
      </c>
      <c r="D42" s="48" t="inlineStr">
        <is>
          <t>貯蓄</t>
        </is>
      </c>
      <c r="E42" s="46">
        <f>'④テーマ別 望むこと'!H15</f>
        <v/>
      </c>
    </row>
    <row r="43" ht="24" customHeight="1">
      <c r="B43" s="49" t="n">
        <v>38</v>
      </c>
      <c r="C43" s="50" t="inlineStr">
        <is>
          <t>お金・経済</t>
        </is>
      </c>
      <c r="D43" s="50" t="inlineStr">
        <is>
          <t>投資</t>
        </is>
      </c>
      <c r="E43" s="46">
        <f>'④テーマ別 望むこと'!J15</f>
        <v/>
      </c>
    </row>
    <row r="44" ht="24" customHeight="1">
      <c r="B44" s="47" t="n">
        <v>39</v>
      </c>
      <c r="C44" s="48" t="inlineStr">
        <is>
          <t>お金・経済</t>
        </is>
      </c>
      <c r="D44" s="48" t="inlineStr">
        <is>
          <t>貯蓄</t>
        </is>
      </c>
      <c r="E44" s="46">
        <f>'④テーマ別 望むこと'!H16</f>
        <v/>
      </c>
    </row>
    <row r="45" ht="24" customHeight="1">
      <c r="B45" s="49" t="n">
        <v>40</v>
      </c>
      <c r="C45" s="50" t="inlineStr">
        <is>
          <t>お金・経済</t>
        </is>
      </c>
      <c r="D45" s="50" t="inlineStr">
        <is>
          <t>投資</t>
        </is>
      </c>
      <c r="E45" s="46">
        <f>'④テーマ別 望むこと'!J16</f>
        <v/>
      </c>
    </row>
    <row r="46" ht="24" customHeight="1">
      <c r="B46" s="47" t="n">
        <v>41</v>
      </c>
      <c r="C46" s="48" t="inlineStr">
        <is>
          <t>健康</t>
        </is>
      </c>
      <c r="D46" s="48" t="inlineStr">
        <is>
          <t>身体</t>
        </is>
      </c>
      <c r="E46" s="46">
        <f>'④テーマ別 望むこと'!C20</f>
        <v/>
      </c>
    </row>
    <row r="47" ht="24" customHeight="1">
      <c r="B47" s="49" t="n">
        <v>42</v>
      </c>
      <c r="C47" s="50" t="inlineStr">
        <is>
          <t>健康</t>
        </is>
      </c>
      <c r="D47" s="50" t="inlineStr">
        <is>
          <t>メンタル</t>
        </is>
      </c>
      <c r="E47" s="46">
        <f>'④テーマ別 望むこと'!E20</f>
        <v/>
      </c>
    </row>
    <row r="48" ht="24" customHeight="1">
      <c r="B48" s="47" t="n">
        <v>43</v>
      </c>
      <c r="C48" s="48" t="inlineStr">
        <is>
          <t>健康</t>
        </is>
      </c>
      <c r="D48" s="48" t="inlineStr">
        <is>
          <t>身体</t>
        </is>
      </c>
      <c r="E48" s="46">
        <f>'④テーマ別 望むこと'!C21</f>
        <v/>
      </c>
    </row>
    <row r="49" ht="24" customHeight="1">
      <c r="B49" s="49" t="n">
        <v>44</v>
      </c>
      <c r="C49" s="50" t="inlineStr">
        <is>
          <t>健康</t>
        </is>
      </c>
      <c r="D49" s="50" t="inlineStr">
        <is>
          <t>メンタル</t>
        </is>
      </c>
      <c r="E49" s="46">
        <f>'④テーマ別 望むこと'!E21</f>
        <v/>
      </c>
    </row>
    <row r="50" ht="24" customHeight="1">
      <c r="B50" s="47" t="n">
        <v>45</v>
      </c>
      <c r="C50" s="48" t="inlineStr">
        <is>
          <t>健康</t>
        </is>
      </c>
      <c r="D50" s="48" t="inlineStr">
        <is>
          <t>身体</t>
        </is>
      </c>
      <c r="E50" s="46">
        <f>'④テーマ別 望むこと'!C22</f>
        <v/>
      </c>
    </row>
    <row r="51" ht="24" customHeight="1">
      <c r="B51" s="49" t="n">
        <v>46</v>
      </c>
      <c r="C51" s="50" t="inlineStr">
        <is>
          <t>健康</t>
        </is>
      </c>
      <c r="D51" s="50" t="inlineStr">
        <is>
          <t>メンタル</t>
        </is>
      </c>
      <c r="E51" s="46">
        <f>'④テーマ別 望むこと'!E22</f>
        <v/>
      </c>
    </row>
    <row r="52" ht="24" customHeight="1">
      <c r="B52" s="47" t="n">
        <v>47</v>
      </c>
      <c r="C52" s="48" t="inlineStr">
        <is>
          <t>健康</t>
        </is>
      </c>
      <c r="D52" s="48" t="inlineStr">
        <is>
          <t>身体</t>
        </is>
      </c>
      <c r="E52" s="46">
        <f>'④テーマ別 望むこと'!C23</f>
        <v/>
      </c>
    </row>
    <row r="53" ht="24" customHeight="1">
      <c r="B53" s="49" t="n">
        <v>48</v>
      </c>
      <c r="C53" s="50" t="inlineStr">
        <is>
          <t>健康</t>
        </is>
      </c>
      <c r="D53" s="50" t="inlineStr">
        <is>
          <t>メンタル</t>
        </is>
      </c>
      <c r="E53" s="46">
        <f>'④テーマ別 望むこと'!E23</f>
        <v/>
      </c>
    </row>
    <row r="54" ht="24" customHeight="1">
      <c r="B54" s="47" t="n">
        <v>49</v>
      </c>
      <c r="C54" s="48" t="inlineStr">
        <is>
          <t>健康</t>
        </is>
      </c>
      <c r="D54" s="48" t="inlineStr">
        <is>
          <t>身体</t>
        </is>
      </c>
      <c r="E54" s="46">
        <f>'④テーマ別 望むこと'!C24</f>
        <v/>
      </c>
    </row>
    <row r="55" ht="24" customHeight="1">
      <c r="B55" s="49" t="n">
        <v>50</v>
      </c>
      <c r="C55" s="50" t="inlineStr">
        <is>
          <t>健康</t>
        </is>
      </c>
      <c r="D55" s="50" t="inlineStr">
        <is>
          <t>メンタル</t>
        </is>
      </c>
      <c r="E55" s="46">
        <f>'④テーマ別 望むこと'!E24</f>
        <v/>
      </c>
    </row>
    <row r="56" ht="24" customHeight="1">
      <c r="B56" s="47" t="n">
        <v>51</v>
      </c>
      <c r="C56" s="48" t="inlineStr">
        <is>
          <t>健康</t>
        </is>
      </c>
      <c r="D56" s="48" t="inlineStr">
        <is>
          <t>身体</t>
        </is>
      </c>
      <c r="E56" s="46">
        <f>'④テーマ別 望むこと'!C25</f>
        <v/>
      </c>
    </row>
    <row r="57" ht="24" customHeight="1">
      <c r="B57" s="49" t="n">
        <v>52</v>
      </c>
      <c r="C57" s="50" t="inlineStr">
        <is>
          <t>健康</t>
        </is>
      </c>
      <c r="D57" s="50" t="inlineStr">
        <is>
          <t>メンタル</t>
        </is>
      </c>
      <c r="E57" s="46">
        <f>'④テーマ別 望むこと'!E25</f>
        <v/>
      </c>
    </row>
    <row r="58" ht="24" customHeight="1">
      <c r="B58" s="47" t="n">
        <v>53</v>
      </c>
      <c r="C58" s="48" t="inlineStr">
        <is>
          <t>健康</t>
        </is>
      </c>
      <c r="D58" s="48" t="inlineStr">
        <is>
          <t>身体</t>
        </is>
      </c>
      <c r="E58" s="46">
        <f>'④テーマ別 望むこと'!C26</f>
        <v/>
      </c>
    </row>
    <row r="59" ht="24" customHeight="1">
      <c r="B59" s="49" t="n">
        <v>54</v>
      </c>
      <c r="C59" s="50" t="inlineStr">
        <is>
          <t>健康</t>
        </is>
      </c>
      <c r="D59" s="50" t="inlineStr">
        <is>
          <t>メンタル</t>
        </is>
      </c>
      <c r="E59" s="46">
        <f>'④テーマ別 望むこと'!E26</f>
        <v/>
      </c>
    </row>
    <row r="60" ht="24" customHeight="1">
      <c r="B60" s="47" t="n">
        <v>55</v>
      </c>
      <c r="C60" s="48" t="inlineStr">
        <is>
          <t>健康</t>
        </is>
      </c>
      <c r="D60" s="48" t="inlineStr">
        <is>
          <t>身体</t>
        </is>
      </c>
      <c r="E60" s="46">
        <f>'④テーマ別 望むこと'!C27</f>
        <v/>
      </c>
    </row>
    <row r="61" ht="24" customHeight="1">
      <c r="B61" s="49" t="n">
        <v>56</v>
      </c>
      <c r="C61" s="50" t="inlineStr">
        <is>
          <t>健康</t>
        </is>
      </c>
      <c r="D61" s="50" t="inlineStr">
        <is>
          <t>メンタル</t>
        </is>
      </c>
      <c r="E61" s="46">
        <f>'④テーマ別 望むこと'!E27</f>
        <v/>
      </c>
    </row>
    <row r="62" ht="24" customHeight="1">
      <c r="B62" s="47" t="n">
        <v>57</v>
      </c>
      <c r="C62" s="48" t="inlineStr">
        <is>
          <t>健康</t>
        </is>
      </c>
      <c r="D62" s="48" t="inlineStr">
        <is>
          <t>身体</t>
        </is>
      </c>
      <c r="E62" s="46">
        <f>'④テーマ別 望むこと'!C28</f>
        <v/>
      </c>
    </row>
    <row r="63" ht="24" customHeight="1">
      <c r="B63" s="49" t="n">
        <v>58</v>
      </c>
      <c r="C63" s="50" t="inlineStr">
        <is>
          <t>健康</t>
        </is>
      </c>
      <c r="D63" s="50" t="inlineStr">
        <is>
          <t>メンタル</t>
        </is>
      </c>
      <c r="E63" s="46">
        <f>'④テーマ別 望むこと'!E28</f>
        <v/>
      </c>
    </row>
    <row r="64" ht="24" customHeight="1">
      <c r="B64" s="47" t="n">
        <v>59</v>
      </c>
      <c r="C64" s="48" t="inlineStr">
        <is>
          <t>健康</t>
        </is>
      </c>
      <c r="D64" s="48" t="inlineStr">
        <is>
          <t>身体</t>
        </is>
      </c>
      <c r="E64" s="46">
        <f>'④テーマ別 望むこと'!C29</f>
        <v/>
      </c>
    </row>
    <row r="65" ht="24" customHeight="1">
      <c r="B65" s="49" t="n">
        <v>60</v>
      </c>
      <c r="C65" s="50" t="inlineStr">
        <is>
          <t>健康</t>
        </is>
      </c>
      <c r="D65" s="50" t="inlineStr">
        <is>
          <t>メンタル</t>
        </is>
      </c>
      <c r="E65" s="46">
        <f>'④テーマ別 望むこと'!E29</f>
        <v/>
      </c>
    </row>
    <row r="66" ht="24" customHeight="1">
      <c r="B66" s="47" t="n">
        <v>61</v>
      </c>
      <c r="C66" s="48" t="inlineStr">
        <is>
          <t>家族・パートナー</t>
        </is>
      </c>
      <c r="D66" s="48" t="inlineStr">
        <is>
          <t>家族</t>
        </is>
      </c>
      <c r="E66" s="46">
        <f>'④テーマ別 望むこと'!H20</f>
        <v/>
      </c>
    </row>
    <row r="67" ht="24" customHeight="1">
      <c r="B67" s="49" t="n">
        <v>62</v>
      </c>
      <c r="C67" s="50" t="inlineStr">
        <is>
          <t>家族・パートナー</t>
        </is>
      </c>
      <c r="D67" s="50" t="inlineStr">
        <is>
          <t>パートナー</t>
        </is>
      </c>
      <c r="E67" s="46">
        <f>'④テーマ別 望むこと'!J20</f>
        <v/>
      </c>
    </row>
    <row r="68" ht="24" customHeight="1">
      <c r="B68" s="47" t="n">
        <v>63</v>
      </c>
      <c r="C68" s="48" t="inlineStr">
        <is>
          <t>家族・パートナー</t>
        </is>
      </c>
      <c r="D68" s="48" t="inlineStr">
        <is>
          <t>家族</t>
        </is>
      </c>
      <c r="E68" s="46">
        <f>'④テーマ別 望むこと'!H21</f>
        <v/>
      </c>
    </row>
    <row r="69" ht="24" customHeight="1">
      <c r="B69" s="49" t="n">
        <v>64</v>
      </c>
      <c r="C69" s="50" t="inlineStr">
        <is>
          <t>家族・パートナー</t>
        </is>
      </c>
      <c r="D69" s="50" t="inlineStr">
        <is>
          <t>パートナー</t>
        </is>
      </c>
      <c r="E69" s="46">
        <f>'④テーマ別 望むこと'!J21</f>
        <v/>
      </c>
    </row>
    <row r="70" ht="24" customHeight="1">
      <c r="B70" s="47" t="n">
        <v>65</v>
      </c>
      <c r="C70" s="48" t="inlineStr">
        <is>
          <t>家族・パートナー</t>
        </is>
      </c>
      <c r="D70" s="48" t="inlineStr">
        <is>
          <t>家族</t>
        </is>
      </c>
      <c r="E70" s="46">
        <f>'④テーマ別 望むこと'!H22</f>
        <v/>
      </c>
    </row>
    <row r="71" ht="24" customHeight="1">
      <c r="B71" s="49" t="n">
        <v>66</v>
      </c>
      <c r="C71" s="50" t="inlineStr">
        <is>
          <t>家族・パートナー</t>
        </is>
      </c>
      <c r="D71" s="50" t="inlineStr">
        <is>
          <t>パートナー</t>
        </is>
      </c>
      <c r="E71" s="46">
        <f>'④テーマ別 望むこと'!J22</f>
        <v/>
      </c>
    </row>
    <row r="72" ht="24" customHeight="1">
      <c r="B72" s="47" t="n">
        <v>67</v>
      </c>
      <c r="C72" s="48" t="inlineStr">
        <is>
          <t>家族・パートナー</t>
        </is>
      </c>
      <c r="D72" s="48" t="inlineStr">
        <is>
          <t>家族</t>
        </is>
      </c>
      <c r="E72" s="46">
        <f>'④テーマ別 望むこと'!H23</f>
        <v/>
      </c>
    </row>
    <row r="73" ht="24" customHeight="1">
      <c r="B73" s="49" t="n">
        <v>68</v>
      </c>
      <c r="C73" s="50" t="inlineStr">
        <is>
          <t>家族・パートナー</t>
        </is>
      </c>
      <c r="D73" s="50" t="inlineStr">
        <is>
          <t>パートナー</t>
        </is>
      </c>
      <c r="E73" s="46">
        <f>'④テーマ別 望むこと'!J23</f>
        <v/>
      </c>
    </row>
    <row r="74" ht="24" customHeight="1">
      <c r="B74" s="47" t="n">
        <v>69</v>
      </c>
      <c r="C74" s="48" t="inlineStr">
        <is>
          <t>家族・パートナー</t>
        </is>
      </c>
      <c r="D74" s="48" t="inlineStr">
        <is>
          <t>家族</t>
        </is>
      </c>
      <c r="E74" s="46">
        <f>'④テーマ別 望むこと'!H24</f>
        <v/>
      </c>
    </row>
    <row r="75" ht="24" customHeight="1">
      <c r="B75" s="49" t="n">
        <v>70</v>
      </c>
      <c r="C75" s="50" t="inlineStr">
        <is>
          <t>家族・パートナー</t>
        </is>
      </c>
      <c r="D75" s="50" t="inlineStr">
        <is>
          <t>パートナー</t>
        </is>
      </c>
      <c r="E75" s="46">
        <f>'④テーマ別 望むこと'!J24</f>
        <v/>
      </c>
    </row>
    <row r="76" ht="24" customHeight="1">
      <c r="B76" s="47" t="n">
        <v>71</v>
      </c>
      <c r="C76" s="48" t="inlineStr">
        <is>
          <t>家族・パートナー</t>
        </is>
      </c>
      <c r="D76" s="48" t="inlineStr">
        <is>
          <t>家族</t>
        </is>
      </c>
      <c r="E76" s="46">
        <f>'④テーマ別 望むこと'!H25</f>
        <v/>
      </c>
    </row>
    <row r="77" ht="24" customHeight="1">
      <c r="B77" s="49" t="n">
        <v>72</v>
      </c>
      <c r="C77" s="50" t="inlineStr">
        <is>
          <t>家族・パートナー</t>
        </is>
      </c>
      <c r="D77" s="50" t="inlineStr">
        <is>
          <t>パートナー</t>
        </is>
      </c>
      <c r="E77" s="46">
        <f>'④テーマ別 望むこと'!J25</f>
        <v/>
      </c>
    </row>
    <row r="78" ht="24" customHeight="1">
      <c r="B78" s="47" t="n">
        <v>73</v>
      </c>
      <c r="C78" s="48" t="inlineStr">
        <is>
          <t>家族・パートナー</t>
        </is>
      </c>
      <c r="D78" s="48" t="inlineStr">
        <is>
          <t>家族</t>
        </is>
      </c>
      <c r="E78" s="46">
        <f>'④テーマ別 望むこと'!H26</f>
        <v/>
      </c>
    </row>
    <row r="79" ht="24" customHeight="1">
      <c r="B79" s="49" t="n">
        <v>74</v>
      </c>
      <c r="C79" s="50" t="inlineStr">
        <is>
          <t>家族・パートナー</t>
        </is>
      </c>
      <c r="D79" s="50" t="inlineStr">
        <is>
          <t>パートナー</t>
        </is>
      </c>
      <c r="E79" s="46">
        <f>'④テーマ別 望むこと'!J26</f>
        <v/>
      </c>
    </row>
    <row r="80" ht="24" customHeight="1">
      <c r="B80" s="47" t="n">
        <v>75</v>
      </c>
      <c r="C80" s="48" t="inlineStr">
        <is>
          <t>家族・パートナー</t>
        </is>
      </c>
      <c r="D80" s="48" t="inlineStr">
        <is>
          <t>家族</t>
        </is>
      </c>
      <c r="E80" s="46">
        <f>'④テーマ別 望むこと'!H27</f>
        <v/>
      </c>
    </row>
    <row r="81" ht="24" customHeight="1">
      <c r="B81" s="49" t="n">
        <v>76</v>
      </c>
      <c r="C81" s="50" t="inlineStr">
        <is>
          <t>家族・パートナー</t>
        </is>
      </c>
      <c r="D81" s="50" t="inlineStr">
        <is>
          <t>パートナー</t>
        </is>
      </c>
      <c r="E81" s="46">
        <f>'④テーマ別 望むこと'!J27</f>
        <v/>
      </c>
    </row>
    <row r="82" ht="24" customHeight="1">
      <c r="B82" s="47" t="n">
        <v>77</v>
      </c>
      <c r="C82" s="48" t="inlineStr">
        <is>
          <t>家族・パートナー</t>
        </is>
      </c>
      <c r="D82" s="48" t="inlineStr">
        <is>
          <t>家族</t>
        </is>
      </c>
      <c r="E82" s="46">
        <f>'④テーマ別 望むこと'!H28</f>
        <v/>
      </c>
    </row>
    <row r="83" ht="24" customHeight="1">
      <c r="B83" s="49" t="n">
        <v>78</v>
      </c>
      <c r="C83" s="50" t="inlineStr">
        <is>
          <t>家族・パートナー</t>
        </is>
      </c>
      <c r="D83" s="50" t="inlineStr">
        <is>
          <t>パートナー</t>
        </is>
      </c>
      <c r="E83" s="46">
        <f>'④テーマ別 望むこと'!J28</f>
        <v/>
      </c>
    </row>
    <row r="84" ht="24" customHeight="1">
      <c r="B84" s="47" t="n">
        <v>79</v>
      </c>
      <c r="C84" s="48" t="inlineStr">
        <is>
          <t>家族・パートナー</t>
        </is>
      </c>
      <c r="D84" s="48" t="inlineStr">
        <is>
          <t>家族</t>
        </is>
      </c>
      <c r="E84" s="46">
        <f>'④テーマ別 望むこと'!H29</f>
        <v/>
      </c>
    </row>
    <row r="85" ht="24" customHeight="1">
      <c r="B85" s="49" t="n">
        <v>80</v>
      </c>
      <c r="C85" s="50" t="inlineStr">
        <is>
          <t>家族・パートナー</t>
        </is>
      </c>
      <c r="D85" s="50" t="inlineStr">
        <is>
          <t>パートナー</t>
        </is>
      </c>
      <c r="E85" s="46">
        <f>'④テーマ別 望むこと'!J29</f>
        <v/>
      </c>
    </row>
    <row r="86" ht="24" customHeight="1">
      <c r="B86" s="47" t="n">
        <v>81</v>
      </c>
      <c r="C86" s="48" t="inlineStr">
        <is>
          <t>人間関係</t>
        </is>
      </c>
      <c r="D86" s="48" t="inlineStr">
        <is>
          <t>友人・知人</t>
        </is>
      </c>
      <c r="E86" s="46">
        <f>'④テーマ別 望むこと'!C33</f>
        <v/>
      </c>
    </row>
    <row r="87" ht="24" customHeight="1">
      <c r="B87" s="49" t="n">
        <v>82</v>
      </c>
      <c r="C87" s="50" t="inlineStr">
        <is>
          <t>人間関係</t>
        </is>
      </c>
      <c r="D87" s="50" t="inlineStr">
        <is>
          <t>仕事関係</t>
        </is>
      </c>
      <c r="E87" s="46">
        <f>'④テーマ別 望むこと'!E33</f>
        <v/>
      </c>
    </row>
    <row r="88" ht="24" customHeight="1">
      <c r="B88" s="47" t="n">
        <v>83</v>
      </c>
      <c r="C88" s="48" t="inlineStr">
        <is>
          <t>人間関係</t>
        </is>
      </c>
      <c r="D88" s="48" t="inlineStr">
        <is>
          <t>友人・知人</t>
        </is>
      </c>
      <c r="E88" s="46">
        <f>'④テーマ別 望むこと'!C34</f>
        <v/>
      </c>
    </row>
    <row r="89" ht="24" customHeight="1">
      <c r="B89" s="49" t="n">
        <v>84</v>
      </c>
      <c r="C89" s="50" t="inlineStr">
        <is>
          <t>人間関係</t>
        </is>
      </c>
      <c r="D89" s="50" t="inlineStr">
        <is>
          <t>仕事関係</t>
        </is>
      </c>
      <c r="E89" s="46">
        <f>'④テーマ別 望むこと'!E34</f>
        <v/>
      </c>
    </row>
    <row r="90" ht="24" customHeight="1">
      <c r="B90" s="47" t="n">
        <v>85</v>
      </c>
      <c r="C90" s="48" t="inlineStr">
        <is>
          <t>人間関係</t>
        </is>
      </c>
      <c r="D90" s="48" t="inlineStr">
        <is>
          <t>友人・知人</t>
        </is>
      </c>
      <c r="E90" s="46">
        <f>'④テーマ別 望むこと'!C35</f>
        <v/>
      </c>
    </row>
    <row r="91" ht="24" customHeight="1">
      <c r="B91" s="49" t="n">
        <v>86</v>
      </c>
      <c r="C91" s="50" t="inlineStr">
        <is>
          <t>人間関係</t>
        </is>
      </c>
      <c r="D91" s="50" t="inlineStr">
        <is>
          <t>仕事関係</t>
        </is>
      </c>
      <c r="E91" s="46">
        <f>'④テーマ別 望むこと'!E35</f>
        <v/>
      </c>
    </row>
    <row r="92" ht="24" customHeight="1">
      <c r="B92" s="47" t="n">
        <v>87</v>
      </c>
      <c r="C92" s="48" t="inlineStr">
        <is>
          <t>人間関係</t>
        </is>
      </c>
      <c r="D92" s="48" t="inlineStr">
        <is>
          <t>友人・知人</t>
        </is>
      </c>
      <c r="E92" s="46">
        <f>'④テーマ別 望むこと'!C36</f>
        <v/>
      </c>
    </row>
    <row r="93" ht="24" customHeight="1">
      <c r="B93" s="49" t="n">
        <v>88</v>
      </c>
      <c r="C93" s="50" t="inlineStr">
        <is>
          <t>人間関係</t>
        </is>
      </c>
      <c r="D93" s="50" t="inlineStr">
        <is>
          <t>仕事関係</t>
        </is>
      </c>
      <c r="E93" s="46">
        <f>'④テーマ別 望むこと'!E36</f>
        <v/>
      </c>
    </row>
    <row r="94" ht="24" customHeight="1">
      <c r="B94" s="47" t="n">
        <v>89</v>
      </c>
      <c r="C94" s="48" t="inlineStr">
        <is>
          <t>人間関係</t>
        </is>
      </c>
      <c r="D94" s="48" t="inlineStr">
        <is>
          <t>友人・知人</t>
        </is>
      </c>
      <c r="E94" s="46">
        <f>'④テーマ別 望むこと'!C37</f>
        <v/>
      </c>
    </row>
    <row r="95" ht="24" customHeight="1">
      <c r="B95" s="49" t="n">
        <v>90</v>
      </c>
      <c r="C95" s="50" t="inlineStr">
        <is>
          <t>人間関係</t>
        </is>
      </c>
      <c r="D95" s="50" t="inlineStr">
        <is>
          <t>仕事関係</t>
        </is>
      </c>
      <c r="E95" s="46">
        <f>'④テーマ別 望むこと'!E37</f>
        <v/>
      </c>
    </row>
    <row r="96" ht="24" customHeight="1">
      <c r="B96" s="47" t="n">
        <v>91</v>
      </c>
      <c r="C96" s="48" t="inlineStr">
        <is>
          <t>人間関係</t>
        </is>
      </c>
      <c r="D96" s="48" t="inlineStr">
        <is>
          <t>友人・知人</t>
        </is>
      </c>
      <c r="E96" s="46">
        <f>'④テーマ別 望むこと'!C38</f>
        <v/>
      </c>
    </row>
    <row r="97" ht="24" customHeight="1">
      <c r="B97" s="49" t="n">
        <v>92</v>
      </c>
      <c r="C97" s="50" t="inlineStr">
        <is>
          <t>人間関係</t>
        </is>
      </c>
      <c r="D97" s="50" t="inlineStr">
        <is>
          <t>仕事関係</t>
        </is>
      </c>
      <c r="E97" s="46">
        <f>'④テーマ別 望むこと'!E38</f>
        <v/>
      </c>
    </row>
    <row r="98" ht="24" customHeight="1">
      <c r="B98" s="47" t="n">
        <v>93</v>
      </c>
      <c r="C98" s="48" t="inlineStr">
        <is>
          <t>人間関係</t>
        </is>
      </c>
      <c r="D98" s="48" t="inlineStr">
        <is>
          <t>友人・知人</t>
        </is>
      </c>
      <c r="E98" s="46">
        <f>'④テーマ別 望むこと'!C39</f>
        <v/>
      </c>
    </row>
    <row r="99" ht="24" customHeight="1">
      <c r="B99" s="49" t="n">
        <v>94</v>
      </c>
      <c r="C99" s="50" t="inlineStr">
        <is>
          <t>人間関係</t>
        </is>
      </c>
      <c r="D99" s="50" t="inlineStr">
        <is>
          <t>仕事関係</t>
        </is>
      </c>
      <c r="E99" s="46">
        <f>'④テーマ別 望むこと'!E39</f>
        <v/>
      </c>
    </row>
    <row r="100" ht="24" customHeight="1">
      <c r="B100" s="47" t="n">
        <v>95</v>
      </c>
      <c r="C100" s="48" t="inlineStr">
        <is>
          <t>人間関係</t>
        </is>
      </c>
      <c r="D100" s="48" t="inlineStr">
        <is>
          <t>友人・知人</t>
        </is>
      </c>
      <c r="E100" s="46">
        <f>'④テーマ別 望むこと'!C40</f>
        <v/>
      </c>
    </row>
    <row r="101" ht="24" customHeight="1">
      <c r="B101" s="49" t="n">
        <v>96</v>
      </c>
      <c r="C101" s="50" t="inlineStr">
        <is>
          <t>人間関係</t>
        </is>
      </c>
      <c r="D101" s="50" t="inlineStr">
        <is>
          <t>仕事関係</t>
        </is>
      </c>
      <c r="E101" s="46">
        <f>'④テーマ別 望むこと'!E40</f>
        <v/>
      </c>
    </row>
    <row r="102" ht="24" customHeight="1">
      <c r="B102" s="47" t="n">
        <v>97</v>
      </c>
      <c r="C102" s="48" t="inlineStr">
        <is>
          <t>人間関係</t>
        </is>
      </c>
      <c r="D102" s="48" t="inlineStr">
        <is>
          <t>友人・知人</t>
        </is>
      </c>
      <c r="E102" s="46">
        <f>'④テーマ別 望むこと'!C41</f>
        <v/>
      </c>
    </row>
    <row r="103" ht="24" customHeight="1">
      <c r="B103" s="49" t="n">
        <v>98</v>
      </c>
      <c r="C103" s="50" t="inlineStr">
        <is>
          <t>人間関係</t>
        </is>
      </c>
      <c r="D103" s="50" t="inlineStr">
        <is>
          <t>仕事関係</t>
        </is>
      </c>
      <c r="E103" s="46">
        <f>'④テーマ別 望むこと'!E41</f>
        <v/>
      </c>
    </row>
    <row r="104" ht="24" customHeight="1">
      <c r="B104" s="47" t="n">
        <v>99</v>
      </c>
      <c r="C104" s="48" t="inlineStr">
        <is>
          <t>人間関係</t>
        </is>
      </c>
      <c r="D104" s="48" t="inlineStr">
        <is>
          <t>友人・知人</t>
        </is>
      </c>
      <c r="E104" s="46">
        <f>'④テーマ別 望むこと'!C42</f>
        <v/>
      </c>
    </row>
    <row r="105" ht="24" customHeight="1">
      <c r="B105" s="49" t="n">
        <v>100</v>
      </c>
      <c r="C105" s="50" t="inlineStr">
        <is>
          <t>人間関係</t>
        </is>
      </c>
      <c r="D105" s="50" t="inlineStr">
        <is>
          <t>仕事関係</t>
        </is>
      </c>
      <c r="E105" s="46">
        <f>'④テーマ別 望むこと'!E42</f>
        <v/>
      </c>
    </row>
    <row r="107" ht="28" customHeight="1">
      <c r="B107" s="47" t="inlineStr">
        <is>
          <t>🌟 すべて書き出せたら、定期的に読み返し、達成したものに印をつけていきましょう。</t>
        </is>
      </c>
    </row>
  </sheetData>
  <mergeCells count="3">
    <mergeCell ref="B2:F2"/>
    <mergeCell ref="B107:E107"/>
    <mergeCell ref="B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2026-06-03T14:43:25Z</dcterms:created>
  <dcterms:modified xmlns:dcterms="http://purl.org/dc/terms/" xmlns:xsi="http://www.w3.org/2001/XMLSchema-instance" xsi:type="dcterms:W3CDTF">2026-06-03T14:43:26Z</dcterms:modified>
</cp:coreProperties>
</file>